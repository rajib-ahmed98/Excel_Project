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1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Ex2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harts/chart10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2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3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4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5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6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7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-4Xe7Z4Xq8SnKX4snWQi7yshyb96ImQT\Combine Work\Pritam Bala\Data Formating and Templete of Church\"/>
    </mc:Choice>
  </mc:AlternateContent>
  <xr:revisionPtr revIDLastSave="0" documentId="13_ncr:1_{BEB07693-7727-4F88-AB78-DF3A8FDB75D8}" xr6:coauthVersionLast="47" xr6:coauthVersionMax="47" xr10:uidLastSave="{00000000-0000-0000-0000-000000000000}"/>
  <bookViews>
    <workbookView xWindow="-120" yWindow="-120" windowWidth="29040" windowHeight="15720" xr2:uid="{B12E51A8-E0BF-470E-AF15-7A012699980E}"/>
  </bookViews>
  <sheets>
    <sheet name="Dashboard" sheetId="4" r:id="rId1"/>
    <sheet name="Lists" sheetId="5" state="hidden" r:id="rId2"/>
    <sheet name="Input" sheetId="2" r:id="rId3"/>
    <sheet name="Archive" sheetId="1" r:id="rId4"/>
    <sheet name="Data_History" sheetId="3" state="hidden" r:id="rId5"/>
  </sheets>
  <definedNames>
    <definedName name="_xlchart.v2.0" hidden="1">Data_History!$A$18:$A$22</definedName>
    <definedName name="_xlchart.v2.1" hidden="1">Data_History!$B$18:$B$22</definedName>
    <definedName name="_xlchart.v2.2" hidden="1">Data_History!$A$18:$A$22</definedName>
    <definedName name="_xlchart.v2.3" hidden="1">Data_History!$B$18:$B$22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2" l="1"/>
  <c r="J12" i="1"/>
  <c r="J16" i="1"/>
  <c r="J18" i="1"/>
  <c r="J24" i="1"/>
  <c r="J26" i="1"/>
  <c r="J27" i="1"/>
  <c r="J28" i="1"/>
  <c r="J32" i="1"/>
  <c r="J34" i="1"/>
  <c r="J40" i="1"/>
  <c r="J42" i="1"/>
  <c r="J43" i="1"/>
  <c r="J44" i="1"/>
  <c r="J48" i="1"/>
  <c r="J50" i="1"/>
  <c r="J56" i="1"/>
  <c r="J58" i="1"/>
  <c r="J59" i="1"/>
  <c r="J60" i="1"/>
  <c r="J64" i="1"/>
  <c r="J66" i="1"/>
  <c r="J72" i="1"/>
  <c r="J74" i="1"/>
  <c r="J75" i="1"/>
  <c r="J76" i="1"/>
  <c r="J80" i="1"/>
  <c r="J82" i="1"/>
  <c r="J88" i="1"/>
  <c r="J90" i="1"/>
  <c r="J91" i="1"/>
  <c r="J92" i="1"/>
  <c r="J93" i="1"/>
  <c r="J94" i="1" s="1"/>
  <c r="J95" i="1" s="1"/>
  <c r="J97" i="1" s="1"/>
  <c r="J99" i="1" s="1"/>
  <c r="J100" i="1" s="1"/>
  <c r="J101" i="1" s="1"/>
  <c r="J102" i="1" s="1"/>
  <c r="J103" i="1" s="1"/>
  <c r="J105" i="1" s="1"/>
  <c r="J96" i="1"/>
  <c r="J98" i="1"/>
  <c r="J104" i="1"/>
  <c r="J106" i="1"/>
  <c r="J107" i="1"/>
  <c r="J108" i="1"/>
  <c r="J109" i="1"/>
  <c r="J110" i="1" s="1"/>
  <c r="J111" i="1" s="1"/>
  <c r="J113" i="1" s="1"/>
  <c r="J115" i="1" s="1"/>
  <c r="J116" i="1" s="1"/>
  <c r="J117" i="1" s="1"/>
  <c r="J118" i="1" s="1"/>
  <c r="J119" i="1" s="1"/>
  <c r="J121" i="1" s="1"/>
  <c r="J112" i="1"/>
  <c r="J114" i="1"/>
  <c r="J120" i="1"/>
  <c r="J122" i="1"/>
  <c r="J123" i="1"/>
  <c r="J124" i="1"/>
  <c r="J125" i="1"/>
  <c r="J126" i="1" s="1"/>
  <c r="J127" i="1" s="1"/>
  <c r="J129" i="1" s="1"/>
  <c r="J131" i="1" s="1"/>
  <c r="J132" i="1" s="1"/>
  <c r="J133" i="1" s="1"/>
  <c r="J134" i="1" s="1"/>
  <c r="J135" i="1" s="1"/>
  <c r="J137" i="1" s="1"/>
  <c r="J128" i="1"/>
  <c r="J130" i="1"/>
  <c r="J136" i="1"/>
  <c r="J138" i="1"/>
  <c r="J139" i="1"/>
  <c r="J140" i="1"/>
  <c r="J141" i="1"/>
  <c r="J142" i="1" s="1"/>
  <c r="J143" i="1" s="1"/>
  <c r="J145" i="1" s="1"/>
  <c r="J147" i="1" s="1"/>
  <c r="J148" i="1" s="1"/>
  <c r="J149" i="1" s="1"/>
  <c r="J150" i="1" s="1"/>
  <c r="J151" i="1" s="1"/>
  <c r="J153" i="1" s="1"/>
  <c r="J144" i="1"/>
  <c r="J146" i="1"/>
  <c r="J152" i="1"/>
  <c r="J154" i="1"/>
  <c r="J155" i="1"/>
  <c r="J156" i="1"/>
  <c r="J160" i="1"/>
  <c r="J162" i="1"/>
  <c r="J168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I16" i="1"/>
  <c r="I18" i="1"/>
  <c r="I24" i="1"/>
  <c r="I26" i="1"/>
  <c r="I27" i="1"/>
  <c r="I28" i="1"/>
  <c r="I32" i="1"/>
  <c r="I34" i="1"/>
  <c r="I40" i="1"/>
  <c r="I42" i="1"/>
  <c r="I43" i="1"/>
  <c r="I44" i="1"/>
  <c r="I48" i="1"/>
  <c r="I50" i="1"/>
  <c r="I56" i="1"/>
  <c r="I58" i="1"/>
  <c r="I59" i="1"/>
  <c r="I60" i="1"/>
  <c r="I64" i="1"/>
  <c r="I66" i="1"/>
  <c r="I72" i="1"/>
  <c r="I74" i="1"/>
  <c r="I75" i="1"/>
  <c r="I76" i="1"/>
  <c r="I80" i="1"/>
  <c r="I82" i="1"/>
  <c r="I88" i="1"/>
  <c r="I90" i="1"/>
  <c r="I91" i="1"/>
  <c r="I92" i="1"/>
  <c r="I93" i="1"/>
  <c r="I94" i="1"/>
  <c r="I95" i="1"/>
  <c r="I97" i="1" s="1"/>
  <c r="I99" i="1" s="1"/>
  <c r="I100" i="1" s="1"/>
  <c r="I101" i="1" s="1"/>
  <c r="I102" i="1" s="1"/>
  <c r="I103" i="1" s="1"/>
  <c r="I105" i="1" s="1"/>
  <c r="I96" i="1"/>
  <c r="I98" i="1"/>
  <c r="I104" i="1"/>
  <c r="I106" i="1"/>
  <c r="I107" i="1"/>
  <c r="I108" i="1"/>
  <c r="I109" i="1"/>
  <c r="I110" i="1" s="1"/>
  <c r="I111" i="1" s="1"/>
  <c r="I113" i="1" s="1"/>
  <c r="I115" i="1" s="1"/>
  <c r="I116" i="1" s="1"/>
  <c r="I117" i="1" s="1"/>
  <c r="I118" i="1" s="1"/>
  <c r="I119" i="1" s="1"/>
  <c r="I121" i="1" s="1"/>
  <c r="I112" i="1"/>
  <c r="I114" i="1"/>
  <c r="I120" i="1"/>
  <c r="I122" i="1"/>
  <c r="I123" i="1"/>
  <c r="I124" i="1"/>
  <c r="I125" i="1"/>
  <c r="I126" i="1"/>
  <c r="I127" i="1" s="1"/>
  <c r="I129" i="1" s="1"/>
  <c r="I131" i="1" s="1"/>
  <c r="I132" i="1" s="1"/>
  <c r="I133" i="1" s="1"/>
  <c r="I134" i="1" s="1"/>
  <c r="I135" i="1" s="1"/>
  <c r="I137" i="1" s="1"/>
  <c r="I128" i="1"/>
  <c r="I130" i="1"/>
  <c r="I136" i="1"/>
  <c r="I138" i="1"/>
  <c r="I139" i="1"/>
  <c r="I140" i="1"/>
  <c r="I141" i="1"/>
  <c r="I142" i="1" s="1"/>
  <c r="I143" i="1" s="1"/>
  <c r="I145" i="1" s="1"/>
  <c r="I147" i="1" s="1"/>
  <c r="I148" i="1" s="1"/>
  <c r="I149" i="1" s="1"/>
  <c r="I150" i="1" s="1"/>
  <c r="I151" i="1" s="1"/>
  <c r="I153" i="1" s="1"/>
  <c r="I144" i="1"/>
  <c r="I146" i="1"/>
  <c r="I152" i="1"/>
  <c r="I154" i="1"/>
  <c r="I155" i="1"/>
  <c r="I156" i="1"/>
  <c r="I160" i="1"/>
  <c r="I162" i="1"/>
  <c r="I168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12" i="1"/>
  <c r="C24" i="2"/>
  <c r="C16" i="2"/>
  <c r="J77" i="1" l="1"/>
  <c r="J78" i="1" s="1"/>
  <c r="J79" i="1" s="1"/>
  <c r="J81" i="1" s="1"/>
  <c r="J83" i="1" s="1"/>
  <c r="J84" i="1" s="1"/>
  <c r="J85" i="1" s="1"/>
  <c r="J86" i="1" s="1"/>
  <c r="J87" i="1" s="1"/>
  <c r="J89" i="1" s="1"/>
  <c r="I77" i="1"/>
  <c r="I78" i="1" s="1"/>
  <c r="J61" i="1"/>
  <c r="J62" i="1" s="1"/>
  <c r="J63" i="1" s="1"/>
  <c r="J65" i="1" s="1"/>
  <c r="J67" i="1" s="1"/>
  <c r="J68" i="1" s="1"/>
  <c r="J69" i="1" s="1"/>
  <c r="J70" i="1" s="1"/>
  <c r="J71" i="1" s="1"/>
  <c r="J73" i="1" s="1"/>
  <c r="I61" i="1"/>
  <c r="I62" i="1" s="1"/>
  <c r="I63" i="1" s="1"/>
  <c r="I65" i="1" s="1"/>
  <c r="I67" i="1" s="1"/>
  <c r="I68" i="1" s="1"/>
  <c r="I69" i="1" s="1"/>
  <c r="I70" i="1" s="1"/>
  <c r="I71" i="1" s="1"/>
  <c r="I73" i="1" s="1"/>
  <c r="J45" i="1"/>
  <c r="J46" i="1" s="1"/>
  <c r="J47" i="1" s="1"/>
  <c r="J49" i="1" s="1"/>
  <c r="J51" i="1" s="1"/>
  <c r="J52" i="1" s="1"/>
  <c r="J53" i="1" s="1"/>
  <c r="J54" i="1" s="1"/>
  <c r="J55" i="1" s="1"/>
  <c r="J57" i="1" s="1"/>
  <c r="I45" i="1"/>
  <c r="I46" i="1" s="1"/>
  <c r="I47" i="1" s="1"/>
  <c r="I49" i="1" s="1"/>
  <c r="I51" i="1" s="1"/>
  <c r="I52" i="1" s="1"/>
  <c r="I53" i="1" s="1"/>
  <c r="I54" i="1" s="1"/>
  <c r="I55" i="1" s="1"/>
  <c r="I57" i="1" s="1"/>
  <c r="J29" i="1"/>
  <c r="J30" i="1" s="1"/>
  <c r="J31" i="1" s="1"/>
  <c r="J33" i="1" s="1"/>
  <c r="J35" i="1" s="1"/>
  <c r="J36" i="1" s="1"/>
  <c r="J37" i="1" s="1"/>
  <c r="J38" i="1" s="1"/>
  <c r="J39" i="1" s="1"/>
  <c r="J41" i="1" s="1"/>
  <c r="I29" i="1"/>
  <c r="I30" i="1" s="1"/>
  <c r="I31" i="1" s="1"/>
  <c r="I33" i="1" s="1"/>
  <c r="I35" i="1" s="1"/>
  <c r="I36" i="1" s="1"/>
  <c r="I37" i="1" s="1"/>
  <c r="I38" i="1" s="1"/>
  <c r="I39" i="1" s="1"/>
  <c r="I41" i="1" s="1"/>
  <c r="I13" i="1"/>
  <c r="I14" i="1" s="1"/>
  <c r="I15" i="1" s="1"/>
  <c r="I17" i="1" s="1"/>
  <c r="I19" i="1" s="1"/>
  <c r="I20" i="1" s="1"/>
  <c r="I21" i="1" s="1"/>
  <c r="I22" i="1" s="1"/>
  <c r="I23" i="1" s="1"/>
  <c r="I25" i="1" s="1"/>
  <c r="J13" i="1"/>
  <c r="J14" i="1" s="1"/>
  <c r="J15" i="1" s="1"/>
  <c r="J17" i="1" s="1"/>
  <c r="J19" i="1" s="1"/>
  <c r="J20" i="1" s="1"/>
  <c r="J21" i="1" s="1"/>
  <c r="J22" i="1" s="1"/>
  <c r="J23" i="1" s="1"/>
  <c r="J25" i="1" s="1"/>
  <c r="I79" i="1"/>
  <c r="W26" i="3"/>
  <c r="AU26" i="3"/>
  <c r="AZ26" i="3"/>
  <c r="R26" i="3"/>
  <c r="J157" i="1"/>
  <c r="J158" i="1" s="1"/>
  <c r="J159" i="1" s="1"/>
  <c r="J161" i="1" s="1"/>
  <c r="J163" i="1" s="1"/>
  <c r="B18" i="3" s="1"/>
  <c r="I157" i="1"/>
  <c r="AN26" i="3" s="1"/>
  <c r="A12" i="2"/>
  <c r="V26" i="3" l="1"/>
  <c r="AM26" i="3"/>
  <c r="U26" i="3"/>
  <c r="AD26" i="3"/>
  <c r="AL26" i="3"/>
  <c r="Y26" i="3"/>
  <c r="AE26" i="3"/>
  <c r="AH26" i="3"/>
  <c r="J26" i="3"/>
  <c r="Z26" i="3"/>
  <c r="AX26" i="3"/>
  <c r="AA26" i="3"/>
  <c r="AQ26" i="3"/>
  <c r="M26" i="3"/>
  <c r="AF26" i="3"/>
  <c r="AC26" i="3"/>
  <c r="K26" i="3"/>
  <c r="AS26" i="3"/>
  <c r="AT26" i="3"/>
  <c r="AP26" i="3"/>
  <c r="N26" i="3"/>
  <c r="L26" i="3"/>
  <c r="AB26" i="3"/>
  <c r="O26" i="3"/>
  <c r="AV26" i="3"/>
  <c r="AR26" i="3"/>
  <c r="P26" i="3"/>
  <c r="AK26" i="3"/>
  <c r="AO26" i="3"/>
  <c r="X26" i="3"/>
  <c r="AI26" i="3"/>
  <c r="T26" i="3"/>
  <c r="I158" i="1"/>
  <c r="AG26" i="3"/>
  <c r="Q26" i="3"/>
  <c r="AW26" i="3"/>
  <c r="S26" i="3"/>
  <c r="AY26" i="3"/>
  <c r="AJ26" i="3"/>
  <c r="I81" i="1"/>
  <c r="I83" i="1" s="1"/>
  <c r="I84" i="1" s="1"/>
  <c r="I85" i="1" s="1"/>
  <c r="I86" i="1" s="1"/>
  <c r="I87" i="1" s="1"/>
  <c r="I89" i="1" s="1"/>
  <c r="J164" i="1"/>
  <c r="I159" i="1" l="1"/>
  <c r="G14" i="3" s="1"/>
  <c r="AL27" i="3"/>
  <c r="AT27" i="3"/>
  <c r="Q27" i="3"/>
  <c r="AU27" i="3"/>
  <c r="V27" i="3"/>
  <c r="AC27" i="3"/>
  <c r="AY27" i="3"/>
  <c r="W27" i="3"/>
  <c r="S27" i="3"/>
  <c r="O27" i="3"/>
  <c r="AM27" i="3"/>
  <c r="L27" i="3"/>
  <c r="AI27" i="3"/>
  <c r="AP27" i="3"/>
  <c r="J27" i="3"/>
  <c r="AE27" i="3"/>
  <c r="AN27" i="3"/>
  <c r="Z27" i="3"/>
  <c r="AD27" i="3"/>
  <c r="P27" i="3"/>
  <c r="AW27" i="3"/>
  <c r="AS27" i="3"/>
  <c r="AV27" i="3"/>
  <c r="AB27" i="3"/>
  <c r="AZ27" i="3"/>
  <c r="AR27" i="3"/>
  <c r="AX27" i="3"/>
  <c r="AJ27" i="3"/>
  <c r="M27" i="3"/>
  <c r="T27" i="3"/>
  <c r="N27" i="3"/>
  <c r="Y27" i="3"/>
  <c r="AF27" i="3"/>
  <c r="AO27" i="3"/>
  <c r="AQ27" i="3"/>
  <c r="AA27" i="3"/>
  <c r="X27" i="3"/>
  <c r="AG27" i="3"/>
  <c r="K27" i="3"/>
  <c r="AK27" i="3"/>
  <c r="R27" i="3"/>
  <c r="U27" i="3"/>
  <c r="AH27" i="3"/>
  <c r="J165" i="1"/>
  <c r="B19" i="3"/>
  <c r="S25" i="3"/>
  <c r="AI25" i="3"/>
  <c r="AY25" i="3"/>
  <c r="V25" i="3"/>
  <c r="AL25" i="3"/>
  <c r="AB25" i="3"/>
  <c r="AR25" i="3"/>
  <c r="T25" i="3"/>
  <c r="AJ25" i="3"/>
  <c r="AZ25" i="3"/>
  <c r="U25" i="3"/>
  <c r="AK25" i="3"/>
  <c r="W25" i="3"/>
  <c r="AM25" i="3"/>
  <c r="AA25" i="3"/>
  <c r="X25" i="3"/>
  <c r="AN25" i="3"/>
  <c r="Y25" i="3"/>
  <c r="AO25" i="3"/>
  <c r="K25" i="3"/>
  <c r="AQ25" i="3"/>
  <c r="M25" i="3"/>
  <c r="AC25" i="3"/>
  <c r="AS25" i="3"/>
  <c r="N25" i="3"/>
  <c r="AD25" i="3"/>
  <c r="AT25" i="3"/>
  <c r="R25" i="3"/>
  <c r="AH25" i="3"/>
  <c r="AX25" i="3"/>
  <c r="J25" i="3"/>
  <c r="Z25" i="3"/>
  <c r="L25" i="3"/>
  <c r="AP25" i="3"/>
  <c r="AW25" i="3"/>
  <c r="AG25" i="3"/>
  <c r="Q25" i="3"/>
  <c r="AV25" i="3"/>
  <c r="AF25" i="3"/>
  <c r="P25" i="3"/>
  <c r="AU25" i="3"/>
  <c r="AE25" i="3"/>
  <c r="O25" i="3"/>
  <c r="D12" i="3"/>
  <c r="E12" i="3"/>
  <c r="F12" i="3"/>
  <c r="G12" i="3"/>
  <c r="H12" i="3"/>
  <c r="I12" i="3"/>
  <c r="J12" i="3"/>
  <c r="K12" i="3"/>
  <c r="L12" i="3"/>
  <c r="M12" i="3"/>
  <c r="N12" i="3"/>
  <c r="D13" i="3"/>
  <c r="E13" i="3"/>
  <c r="F13" i="3"/>
  <c r="G13" i="3"/>
  <c r="H13" i="3"/>
  <c r="I13" i="3"/>
  <c r="J13" i="3"/>
  <c r="K13" i="3"/>
  <c r="L13" i="3"/>
  <c r="M13" i="3"/>
  <c r="N13" i="3"/>
  <c r="D14" i="3"/>
  <c r="E14" i="3"/>
  <c r="F14" i="3"/>
  <c r="H14" i="3"/>
  <c r="I14" i="3"/>
  <c r="J14" i="3"/>
  <c r="K14" i="3"/>
  <c r="L14" i="3"/>
  <c r="M14" i="3"/>
  <c r="N14" i="3"/>
  <c r="C13" i="3"/>
  <c r="C14" i="3"/>
  <c r="C12" i="3"/>
  <c r="O11" i="3"/>
  <c r="B13" i="3"/>
  <c r="B14" i="3"/>
  <c r="B12" i="3"/>
  <c r="O17" i="3"/>
  <c r="J166" i="1" l="1"/>
  <c r="B20" i="3"/>
  <c r="I161" i="1"/>
  <c r="I163" i="1" s="1"/>
  <c r="AK28" i="3"/>
  <c r="Q28" i="3"/>
  <c r="AN28" i="3"/>
  <c r="U28" i="3"/>
  <c r="O28" i="3"/>
  <c r="X28" i="3"/>
  <c r="AX28" i="3"/>
  <c r="K28" i="3"/>
  <c r="AU28" i="3"/>
  <c r="AW28" i="3"/>
  <c r="R28" i="3"/>
  <c r="L28" i="3"/>
  <c r="AH28" i="3"/>
  <c r="AB28" i="3"/>
  <c r="AR28" i="3"/>
  <c r="Z28" i="3"/>
  <c r="AM28" i="3"/>
  <c r="AG28" i="3"/>
  <c r="AA28" i="3"/>
  <c r="W28" i="3"/>
  <c r="AD28" i="3"/>
  <c r="AO28" i="3"/>
  <c r="AP28" i="3"/>
  <c r="AT28" i="3"/>
  <c r="N28" i="3"/>
  <c r="T28" i="3"/>
  <c r="Y28" i="3"/>
  <c r="AY28" i="3"/>
  <c r="P28" i="3"/>
  <c r="AQ28" i="3"/>
  <c r="V28" i="3"/>
  <c r="AI28" i="3"/>
  <c r="AV28" i="3"/>
  <c r="AE28" i="3"/>
  <c r="J28" i="3"/>
  <c r="S28" i="3"/>
  <c r="AF28" i="3"/>
  <c r="AJ28" i="3"/>
  <c r="AL28" i="3"/>
  <c r="AZ28" i="3"/>
  <c r="AC28" i="3"/>
  <c r="M28" i="3"/>
  <c r="AS28" i="3"/>
  <c r="K11" i="3"/>
  <c r="N11" i="3"/>
  <c r="F11" i="3"/>
  <c r="B11" i="3"/>
  <c r="C11" i="3"/>
  <c r="G11" i="3"/>
  <c r="L11" i="3"/>
  <c r="J11" i="3"/>
  <c r="E11" i="3"/>
  <c r="D11" i="3"/>
  <c r="I11" i="3"/>
  <c r="M11" i="3"/>
  <c r="H11" i="3"/>
  <c r="L18" i="3" l="1"/>
  <c r="L17" i="3" s="1"/>
  <c r="J18" i="3"/>
  <c r="J17" i="3" s="1"/>
  <c r="K18" i="3"/>
  <c r="K17" i="3" s="1"/>
  <c r="E18" i="3"/>
  <c r="N18" i="3"/>
  <c r="N17" i="3" s="1"/>
  <c r="M18" i="3"/>
  <c r="M17" i="3" s="1"/>
  <c r="D18" i="3"/>
  <c r="F18" i="3"/>
  <c r="F17" i="3" s="1"/>
  <c r="H18" i="3"/>
  <c r="H17" i="3" s="1"/>
  <c r="I18" i="3"/>
  <c r="I17" i="3" s="1"/>
  <c r="C18" i="3"/>
  <c r="G18" i="3"/>
  <c r="G17" i="3" s="1"/>
  <c r="I164" i="1"/>
  <c r="J167" i="1"/>
  <c r="B21" i="3"/>
  <c r="C19" i="3" l="1"/>
  <c r="I165" i="1"/>
  <c r="J19" i="3"/>
  <c r="M19" i="3"/>
  <c r="F19" i="3"/>
  <c r="D19" i="3"/>
  <c r="G19" i="3"/>
  <c r="N19" i="3"/>
  <c r="L19" i="3"/>
  <c r="K19" i="3"/>
  <c r="I19" i="3"/>
  <c r="H19" i="3"/>
  <c r="E19" i="3"/>
  <c r="J169" i="1"/>
  <c r="B22" i="3"/>
  <c r="B17" i="3" s="1"/>
  <c r="J20" i="3" l="1"/>
  <c r="E20" i="3"/>
  <c r="N20" i="3"/>
  <c r="H20" i="3"/>
  <c r="G20" i="3"/>
  <c r="F20" i="3"/>
  <c r="K20" i="3"/>
  <c r="L20" i="3"/>
  <c r="D20" i="3"/>
  <c r="C20" i="3"/>
  <c r="M20" i="3"/>
  <c r="I20" i="3"/>
  <c r="I166" i="1"/>
  <c r="L21" i="3" l="1"/>
  <c r="I167" i="1"/>
  <c r="K21" i="3"/>
  <c r="I21" i="3"/>
  <c r="C21" i="3"/>
  <c r="N21" i="3"/>
  <c r="J21" i="3"/>
  <c r="H21" i="3"/>
  <c r="F21" i="3"/>
  <c r="E21" i="3"/>
  <c r="D21" i="3"/>
  <c r="G21" i="3"/>
  <c r="M21" i="3"/>
  <c r="N22" i="3" l="1"/>
  <c r="I169" i="1"/>
  <c r="B24" i="3" s="1" a="1"/>
  <c r="M22" i="3"/>
  <c r="C22" i="3"/>
  <c r="C17" i="3" s="1"/>
  <c r="H22" i="3"/>
  <c r="E22" i="3"/>
  <c r="E17" i="3" s="1"/>
  <c r="L22" i="3"/>
  <c r="I22" i="3"/>
  <c r="F22" i="3"/>
  <c r="D22" i="3"/>
  <c r="D17" i="3" s="1"/>
  <c r="K22" i="3"/>
  <c r="J22" i="3"/>
  <c r="G22" i="3"/>
  <c r="C26" i="3" l="1"/>
  <c r="D26" i="3"/>
  <c r="E26" i="3"/>
  <c r="C27" i="3"/>
  <c r="G28" i="3"/>
  <c r="F26" i="3"/>
  <c r="D27" i="3"/>
  <c r="I27" i="3"/>
  <c r="G26" i="3"/>
  <c r="E27" i="3"/>
  <c r="C28" i="3"/>
  <c r="H26" i="3"/>
  <c r="F27" i="3"/>
  <c r="D28" i="3"/>
  <c r="H27" i="3"/>
  <c r="F28" i="3"/>
  <c r="I26" i="3"/>
  <c r="G27" i="3"/>
  <c r="E28" i="3"/>
  <c r="H28" i="3"/>
  <c r="I28" i="3"/>
  <c r="B24" i="3"/>
  <c r="G25" i="3" l="1"/>
  <c r="F25" i="3"/>
  <c r="H25" i="3"/>
  <c r="E25" i="3"/>
  <c r="D25" i="3"/>
  <c r="I25" i="3"/>
  <c r="C25" i="3"/>
  <c r="B26" i="3"/>
  <c r="B28" i="3"/>
  <c r="B27" i="3"/>
  <c r="B25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<sst xmlns="http://schemas.openxmlformats.org/spreadsheetml/2006/main" count="58" uniqueCount="31">
  <si>
    <t xml:space="preserve">RCCG Strong Tower Parish Bergen </t>
  </si>
  <si>
    <t xml:space="preserve">Attendance &amp; Finance Report </t>
  </si>
  <si>
    <t xml:space="preserve">Usher Department </t>
  </si>
  <si>
    <t>Date</t>
  </si>
  <si>
    <t xml:space="preserve">Events </t>
  </si>
  <si>
    <t xml:space="preserve">Summary </t>
  </si>
  <si>
    <t xml:space="preserve">Signature </t>
  </si>
  <si>
    <t>Usher Signature</t>
  </si>
  <si>
    <t>Men</t>
  </si>
  <si>
    <t>Women</t>
  </si>
  <si>
    <t>Children</t>
  </si>
  <si>
    <t>Thanksgiving offering</t>
  </si>
  <si>
    <t>Love Offering</t>
  </si>
  <si>
    <t xml:space="preserve">Foreign Currency </t>
  </si>
  <si>
    <t>Donations</t>
  </si>
  <si>
    <t xml:space="preserve">RCCG Charity </t>
  </si>
  <si>
    <t>Total</t>
  </si>
  <si>
    <t>Finance Leader</t>
  </si>
  <si>
    <t>Total Present</t>
  </si>
  <si>
    <t>Total Found</t>
  </si>
  <si>
    <t>In Total</t>
  </si>
  <si>
    <t>Sunday Services</t>
  </si>
  <si>
    <t>Bible Studies</t>
  </si>
  <si>
    <t>Youth Programs</t>
  </si>
  <si>
    <t>Community Outreach</t>
  </si>
  <si>
    <t>Prayer Meetings</t>
  </si>
  <si>
    <t>Marriage and Family Counseling</t>
  </si>
  <si>
    <t>Music and Choir</t>
  </si>
  <si>
    <t>Mission Trips</t>
  </si>
  <si>
    <t>Educational Programs</t>
  </si>
  <si>
    <t>Programme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</si>
</sst>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d/mmm/yyyy;@"/>
    <numFmt numFmtId="165" formatCode="[$-409]d/mmm/yy;@"/>
    <numFmt numFmtId="166" formatCode="[$]dddd"/>
    <numFmt numFmtId="167" formatCode="[$-409]d\-mmm;@"/>
    <numFmt numFmtId="168" formatCode="[$-409]d\-mmm\-yy;@"/>
    <numFmt numFmtId="169" formatCode="&quot;Nkr&quot;\ #,##0"/>
  </numFmts>
  <fonts count="16">
    <font>
      <sz val="11"/>
      <color theme="1"/>
      <name val="Aptos Narrow"/>
      <family val="2"/>
      <scheme val="minor"/>
    </font>
    <font>
      <b/>
      <sz val="11"/>
      <color theme="1"/>
      <name val="ADLaM Display"/>
    </font>
    <font>
      <b/>
      <sz val="11"/>
      <color theme="1"/>
      <name val="Amasis MT Pro"/>
      <family val="1"/>
    </font>
    <font>
      <b/>
      <sz val="11"/>
      <color theme="1"/>
      <name val="Amasis MT Pro Black"/>
      <family val="1"/>
    </font>
    <font>
      <sz val="11"/>
      <color theme="1"/>
      <name val="Bahnschrift Condensed"/>
      <family val="2"/>
    </font>
    <font>
      <sz val="11"/>
      <color theme="1"/>
      <name val="Algerian"/>
      <family val="5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1"/>
      <color rgb="FF000000"/>
      <name val="Aptos Narrow"/>
    </font>
    <font>
      <b/>
      <sz val="11"/>
      <color theme="1"/>
      <name val="Aharoni"/>
    </font>
    <font>
      <sz val="11"/>
      <color rgb="FF000000"/>
      <name val="Bahnschrift SemiBold"/>
      <family val="2"/>
    </font>
    <font>
      <sz val="11"/>
      <color rgb="FF000000"/>
      <name val="Aptos Narrow"/>
      <family val="2"/>
      <scheme val="minor"/>
    </font>
    <font>
      <sz val="8"/>
      <color rgb="FF000000"/>
      <name val="Segoe UI"/>
      <family val="2"/>
    </font>
    <font>
      <sz val="1"/>
      <color theme="0"/>
      <name val="Aptos Narrow"/>
      <family val="2"/>
      <scheme val="minor"/>
    </font>
    <font>
      <b/>
      <sz val="1"/>
      <color theme="0"/>
      <name val="Amasis MT Pro Black"/>
      <family val="1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auto="1"/>
      </top>
      <bottom/>
      <diagonal/>
    </border>
  </borders>
  <cellStyleXfs count="1">
    <xf numFmtId="0" fontId="0" fillId="0" borderId="0"/>
  </cellStyleXfs>
  <cellXfs count="70">
    <xf numFmtId="0" fontId="0" fillId="0" borderId="0" xfId="0"/>
    <xf numFmtId="164" fontId="0" fillId="0" borderId="0" xfId="0" applyNumberFormat="1"/>
    <xf numFmtId="0" fontId="7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3" borderId="4" xfId="0" applyFont="1" applyFill="1" applyBorder="1"/>
    <xf numFmtId="0" fontId="0" fillId="4" borderId="2" xfId="0" applyFill="1" applyBorder="1"/>
    <xf numFmtId="0" fontId="7" fillId="2" borderId="5" xfId="0" applyFont="1" applyFill="1" applyBorder="1"/>
    <xf numFmtId="0" fontId="7" fillId="2" borderId="6" xfId="0" applyFont="1" applyFill="1" applyBorder="1"/>
    <xf numFmtId="17" fontId="7" fillId="2" borderId="6" xfId="0" applyNumberFormat="1" applyFont="1" applyFill="1" applyBorder="1"/>
    <xf numFmtId="17" fontId="7" fillId="2" borderId="7" xfId="0" applyNumberFormat="1" applyFont="1" applyFill="1" applyBorder="1"/>
    <xf numFmtId="0" fontId="7" fillId="3" borderId="8" xfId="0" applyFont="1" applyFill="1" applyBorder="1"/>
    <xf numFmtId="0" fontId="7" fillId="3" borderId="9" xfId="0" applyFont="1" applyFill="1" applyBorder="1"/>
    <xf numFmtId="0" fontId="7" fillId="0" borderId="10" xfId="0" applyFont="1" applyBorder="1"/>
    <xf numFmtId="0" fontId="0" fillId="0" borderId="11" xfId="0" applyBorder="1"/>
    <xf numFmtId="0" fontId="7" fillId="4" borderId="12" xfId="0" applyFont="1" applyFill="1" applyBorder="1"/>
    <xf numFmtId="0" fontId="0" fillId="4" borderId="13" xfId="0" applyFill="1" applyBorder="1"/>
    <xf numFmtId="0" fontId="7" fillId="0" borderId="14" xfId="0" applyFont="1" applyBorder="1"/>
    <xf numFmtId="0" fontId="0" fillId="0" borderId="15" xfId="0" applyBorder="1"/>
    <xf numFmtId="0" fontId="7" fillId="0" borderId="12" xfId="0" applyFont="1" applyBorder="1"/>
    <xf numFmtId="0" fontId="0" fillId="0" borderId="13" xfId="0" applyBorder="1"/>
    <xf numFmtId="0" fontId="7" fillId="0" borderId="16" xfId="0" applyFont="1" applyBorder="1"/>
    <xf numFmtId="0" fontId="0" fillId="0" borderId="17" xfId="0" applyBorder="1"/>
    <xf numFmtId="0" fontId="0" fillId="0" borderId="18" xfId="0" applyBorder="1"/>
    <xf numFmtId="17" fontId="6" fillId="5" borderId="0" xfId="0" applyNumberFormat="1" applyFont="1" applyFill="1"/>
    <xf numFmtId="0" fontId="7" fillId="3" borderId="19" xfId="0" applyFont="1" applyFill="1" applyBorder="1"/>
    <xf numFmtId="0" fontId="7" fillId="3" borderId="20" xfId="0" applyFont="1" applyFill="1" applyBorder="1"/>
    <xf numFmtId="0" fontId="0" fillId="0" borderId="21" xfId="0" applyBorder="1"/>
    <xf numFmtId="0" fontId="0" fillId="0" borderId="22" xfId="0" applyBorder="1"/>
    <xf numFmtId="0" fontId="0" fillId="4" borderId="23" xfId="0" applyFill="1" applyBorder="1"/>
    <xf numFmtId="0" fontId="0" fillId="4" borderId="24" xfId="0" applyFill="1" applyBorder="1"/>
    <xf numFmtId="0" fontId="0" fillId="0" borderId="25" xfId="0" applyBorder="1"/>
    <xf numFmtId="0" fontId="0" fillId="0" borderId="26" xfId="0" applyBorder="1"/>
    <xf numFmtId="0" fontId="0" fillId="0" borderId="23" xfId="0" applyBorder="1"/>
    <xf numFmtId="0" fontId="0" fillId="0" borderId="24" xfId="0" applyBorder="1"/>
    <xf numFmtId="0" fontId="0" fillId="0" borderId="27" xfId="0" applyBorder="1"/>
    <xf numFmtId="0" fontId="0" fillId="0" borderId="28" xfId="0" applyBorder="1"/>
    <xf numFmtId="165" fontId="8" fillId="0" borderId="0" xfId="0" applyNumberFormat="1" applyFont="1"/>
    <xf numFmtId="167" fontId="8" fillId="0" borderId="0" xfId="0" applyNumberFormat="1" applyFont="1"/>
    <xf numFmtId="0" fontId="11" fillId="0" borderId="0" xfId="0" applyFont="1"/>
    <xf numFmtId="0" fontId="12" fillId="0" borderId="0" xfId="0" applyFont="1"/>
    <xf numFmtId="164" fontId="12" fillId="0" borderId="0" xfId="0" applyNumberFormat="1" applyFont="1"/>
    <xf numFmtId="0" fontId="0" fillId="0" borderId="0" xfId="0" applyBorder="1"/>
    <xf numFmtId="164" fontId="3" fillId="0" borderId="29" xfId="0" applyNumberFormat="1" applyFont="1" applyBorder="1"/>
    <xf numFmtId="0" fontId="3" fillId="0" borderId="29" xfId="0" applyFont="1" applyBorder="1"/>
    <xf numFmtId="0" fontId="11" fillId="0" borderId="0" xfId="0" applyFont="1" applyBorder="1"/>
    <xf numFmtId="0" fontId="0" fillId="0" borderId="30" xfId="0" applyBorder="1"/>
    <xf numFmtId="0" fontId="5" fillId="0" borderId="30" xfId="0" applyFont="1" applyBorder="1"/>
    <xf numFmtId="168" fontId="4" fillId="0" borderId="0" xfId="0" applyNumberFormat="1" applyFont="1" applyAlignment="1">
      <alignment horizontal="center"/>
    </xf>
    <xf numFmtId="166" fontId="4" fillId="0" borderId="0" xfId="0" applyNumberFormat="1" applyFont="1" applyAlignment="1">
      <alignment horizontal="center"/>
    </xf>
    <xf numFmtId="0" fontId="0" fillId="0" borderId="0" xfId="0" applyAlignment="1"/>
    <xf numFmtId="169" fontId="0" fillId="0" borderId="30" xfId="0" applyNumberFormat="1" applyBorder="1"/>
    <xf numFmtId="164" fontId="0" fillId="0" borderId="0" xfId="0" applyNumberFormat="1" applyProtection="1">
      <protection locked="0"/>
    </xf>
    <xf numFmtId="0" fontId="0" fillId="0" borderId="0" xfId="0" applyProtection="1">
      <protection locked="0"/>
    </xf>
    <xf numFmtId="164" fontId="3" fillId="0" borderId="0" xfId="0" applyNumberFormat="1" applyFont="1" applyProtection="1">
      <protection locked="0"/>
    </xf>
    <xf numFmtId="0" fontId="3" fillId="0" borderId="0" xfId="0" applyFont="1" applyProtection="1">
      <protection locked="0"/>
    </xf>
    <xf numFmtId="168" fontId="4" fillId="0" borderId="0" xfId="0" applyNumberFormat="1" applyFont="1" applyProtection="1">
      <protection locked="0"/>
    </xf>
    <xf numFmtId="0" fontId="11" fillId="0" borderId="0" xfId="0" applyFont="1" applyProtection="1">
      <protection locked="0"/>
    </xf>
    <xf numFmtId="166" fontId="7" fillId="0" borderId="0" xfId="0" applyNumberFormat="1" applyFont="1" applyProtection="1">
      <protection locked="0"/>
    </xf>
    <xf numFmtId="164" fontId="12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168" fontId="14" fillId="0" borderId="0" xfId="0" applyNumberFormat="1" applyFont="1" applyFill="1" applyProtection="1"/>
    <xf numFmtId="0" fontId="14" fillId="0" borderId="0" xfId="0" applyFont="1" applyFill="1" applyProtection="1"/>
    <xf numFmtId="168" fontId="15" fillId="0" borderId="0" xfId="0" applyNumberFormat="1" applyFont="1" applyFill="1" applyProtection="1"/>
    <xf numFmtId="0" fontId="1" fillId="0" borderId="0" xfId="0" applyFont="1" applyAlignment="1">
      <alignment horizontal="center"/>
    </xf>
    <xf numFmtId="0" fontId="1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EFC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Month</a:t>
            </a:r>
            <a:r>
              <a:rPr lang="en-US" sz="1200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Wise Total Funds</a:t>
            </a:r>
            <a:endParaRPr lang="en-US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Data_History!$C$10:$N$10</c:f>
              <c:numCache>
                <c:formatCode>mmm\-yy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</c:numCache>
            </c:numRef>
          </c:cat>
          <c:val>
            <c:numRef>
              <c:f>Data_History!$C$17:$N$17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4-4472-8648-F95A283BC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5157568"/>
        <c:axId val="1305155648"/>
      </c:barChart>
      <c:lineChart>
        <c:grouping val="standard"/>
        <c:varyColors val="0"/>
        <c:ser>
          <c:idx val="1"/>
          <c:order val="1"/>
          <c:tx>
            <c:v>Funds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Data_History!$C$10:$N$10</c:f>
              <c:numCache>
                <c:formatCode>mmm\-yy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</c:numCache>
            </c:numRef>
          </c:cat>
          <c:val>
            <c:numRef>
              <c:f>Data_History!$C$17:$N$17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94-4472-8648-F95A283BC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157568"/>
        <c:axId val="1305155648"/>
      </c:lineChart>
      <c:dateAx>
        <c:axId val="130515756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05155648"/>
        <c:crosses val="autoZero"/>
        <c:auto val="1"/>
        <c:lblOffset val="100"/>
        <c:baseTimeUnit val="months"/>
      </c:dateAx>
      <c:valAx>
        <c:axId val="1305155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0515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2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Day Wise Present</a:t>
            </a:r>
          </a:p>
        </c:rich>
      </c:tx>
      <c:layout>
        <c:manualLayout>
          <c:xMode val="edge"/>
          <c:yMode val="edge"/>
          <c:x val="0.44205874182065558"/>
          <c:y val="3.25204967935709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7221674205497346E-2"/>
          <c:y val="0.24608274481153775"/>
          <c:w val="0.95928450596398507"/>
          <c:h val="0.54549719944800712"/>
        </c:manualLayout>
      </c:layout>
      <c:lineChart>
        <c:grouping val="standard"/>
        <c:varyColors val="0"/>
        <c:ser>
          <c:idx val="0"/>
          <c:order val="0"/>
          <c:tx>
            <c:strRef>
              <c:f>Data_History!$A$25</c:f>
              <c:strCache>
                <c:ptCount val="1"/>
                <c:pt idx="0">
                  <c:v>Total Present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Data_History!$B$24:$AZ$24</c:f>
              <c:numCache>
                <c:formatCode>[$-409]d\-mmm;@</c:formatCode>
                <c:ptCount val="51"/>
                <c:pt idx="0">
                  <c:v>0</c:v>
                </c:pt>
              </c:numCache>
            </c:numRef>
          </c:cat>
          <c:val>
            <c:numRef>
              <c:f>Data_History!$B$25:$AZ$25</c:f>
              <c:numCache>
                <c:formatCode>General</c:formatCode>
                <c:ptCount val="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5F-4AA3-BA8A-5EBFBA753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9322239"/>
        <c:axId val="1449308319"/>
      </c:lineChart>
      <c:catAx>
        <c:axId val="1449322239"/>
        <c:scaling>
          <c:orientation val="minMax"/>
        </c:scaling>
        <c:delete val="0"/>
        <c:axPos val="b"/>
        <c:numFmt formatCode="[$-409]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449308319"/>
        <c:crosses val="autoZero"/>
        <c:auto val="0"/>
        <c:lblAlgn val="ctr"/>
        <c:lblOffset val="100"/>
        <c:tickLblSkip val="1"/>
        <c:noMultiLvlLbl val="0"/>
      </c:catAx>
      <c:valAx>
        <c:axId val="14493083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449322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08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Thanksgiving offering </a:t>
            </a:r>
          </a:p>
        </c:rich>
      </c:tx>
      <c:layout>
        <c:manualLayout>
          <c:xMode val="edge"/>
          <c:yMode val="edge"/>
          <c:x val="0.2134803274850324"/>
          <c:y val="3.47826086956521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8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300744013884298"/>
          <c:y val="0.17171296296296296"/>
          <c:w val="0.64557884057216974"/>
          <c:h val="0.7212580198308544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Data_History!$C$10:$N$10</c:f>
              <c:numCache>
                <c:formatCode>mmm\-yy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</c:numCache>
            </c:numRef>
          </c:cat>
          <c:val>
            <c:numRef>
              <c:f>Data_History!$C$18:$N$18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AC-42C7-9CAF-DE235F927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37603311"/>
        <c:axId val="1337607151"/>
      </c:barChart>
      <c:dateAx>
        <c:axId val="1337603311"/>
        <c:scaling>
          <c:orientation val="minMax"/>
        </c:scaling>
        <c:delete val="0"/>
        <c:axPos val="l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9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37607151"/>
        <c:crosses val="autoZero"/>
        <c:auto val="1"/>
        <c:lblOffset val="100"/>
        <c:baseTimeUnit val="months"/>
      </c:dateAx>
      <c:valAx>
        <c:axId val="1337607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37603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 algn="ctr" rtl="0">
        <a:defRPr lang="en-US" sz="900" b="1" i="0" u="none" strike="noStrike" kern="1200" spc="0" baseline="0">
          <a:solidFill>
            <a:sysClr val="windowText" lastClr="000000"/>
          </a:solidFill>
          <a:latin typeface="Arial" panose="020B0604020202020204" pitchFamily="34" charset="0"/>
          <a:ea typeface="+mn-ea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08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Love Offering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8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Data_History!$C$10:$N$10</c:f>
              <c:numCache>
                <c:formatCode>mmm\-yy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</c:numCache>
            </c:numRef>
          </c:cat>
          <c:val>
            <c:numRef>
              <c:f>Data_History!$C$19:$N$19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76-42E0-B78F-22CB3076E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38320143"/>
        <c:axId val="1638322063"/>
      </c:barChart>
      <c:dateAx>
        <c:axId val="1638320143"/>
        <c:scaling>
          <c:orientation val="minMax"/>
        </c:scaling>
        <c:delete val="0"/>
        <c:axPos val="l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9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38322063"/>
        <c:crosses val="autoZero"/>
        <c:auto val="1"/>
        <c:lblOffset val="100"/>
        <c:baseTimeUnit val="months"/>
      </c:dateAx>
      <c:valAx>
        <c:axId val="1638322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38320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 algn="ctr" rtl="0">
        <a:defRPr lang="en-US" sz="900" b="1" i="0" u="none" strike="noStrike" kern="1200" spc="0" baseline="0">
          <a:solidFill>
            <a:sysClr val="windowText" lastClr="000000"/>
          </a:solidFill>
          <a:latin typeface="Arial" panose="020B0604020202020204" pitchFamily="34" charset="0"/>
          <a:ea typeface="+mn-ea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08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 Foreign Currency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8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Data_History!$C$10:$N$10</c:f>
              <c:numCache>
                <c:formatCode>mmm\-yy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</c:numCache>
            </c:numRef>
          </c:cat>
          <c:val>
            <c:numRef>
              <c:f>Data_History!$C$20:$N$20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11-4635-B51F-C3BCAC8E8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32408415"/>
        <c:axId val="1432402655"/>
      </c:barChart>
      <c:dateAx>
        <c:axId val="1432408415"/>
        <c:scaling>
          <c:orientation val="minMax"/>
        </c:scaling>
        <c:delete val="0"/>
        <c:axPos val="l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9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432402655"/>
        <c:crosses val="autoZero"/>
        <c:auto val="1"/>
        <c:lblOffset val="100"/>
        <c:baseTimeUnit val="months"/>
      </c:dateAx>
      <c:valAx>
        <c:axId val="1432402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9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432408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 algn="ctr" rtl="0">
        <a:defRPr lang="en-US" sz="900" b="1" i="0" u="none" strike="noStrike" kern="1200" spc="0" baseline="0">
          <a:solidFill>
            <a:sysClr val="windowText" lastClr="000000"/>
          </a:solidFill>
          <a:latin typeface="Arial" panose="020B0604020202020204" pitchFamily="34" charset="0"/>
          <a:ea typeface="+mn-ea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08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Total</a:t>
            </a:r>
            <a:r>
              <a:rPr lang="en-US" baseline="0"/>
              <a:t> </a:t>
            </a:r>
            <a:r>
              <a:rPr lang="en-US" sz="1080" b="1" i="0" u="none" strike="noStrike" baseline="0">
                <a:effectLst/>
              </a:rPr>
              <a:t>Donations</a:t>
            </a:r>
            <a:r>
              <a:rPr lang="en-US" sz="1080" b="1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8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Data_History!$C$10:$N$10</c:f>
              <c:numCache>
                <c:formatCode>mmm\-yy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</c:numCache>
            </c:numRef>
          </c:cat>
          <c:val>
            <c:numRef>
              <c:f>Data_History!$C$21:$N$21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E9-41DE-ADED-6FD572964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43205615"/>
        <c:axId val="1443198415"/>
      </c:barChart>
      <c:dateAx>
        <c:axId val="1443205615"/>
        <c:scaling>
          <c:orientation val="minMax"/>
        </c:scaling>
        <c:delete val="0"/>
        <c:axPos val="l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9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443198415"/>
        <c:crosses val="autoZero"/>
        <c:auto val="1"/>
        <c:lblOffset val="100"/>
        <c:baseTimeUnit val="months"/>
      </c:dateAx>
      <c:valAx>
        <c:axId val="1443198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443205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 algn="ctr" rtl="0">
        <a:defRPr lang="en-US" sz="900" b="1" i="0" u="none" strike="noStrike" kern="1200" spc="0" baseline="0">
          <a:solidFill>
            <a:sysClr val="windowText" lastClr="000000"/>
          </a:solidFill>
          <a:latin typeface="Arial" panose="020B0604020202020204" pitchFamily="34" charset="0"/>
          <a:ea typeface="+mn-ea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08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80" b="1" i="0" u="none" strike="noStrike" baseline="0">
                <a:effectLst/>
              </a:rPr>
              <a:t>RCCG Charity </a:t>
            </a:r>
            <a:r>
              <a:rPr lang="en-US" sz="108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32433562992125986"/>
          <c:y val="3.44086099192526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8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Data_History!$C$10:$N$10</c:f>
              <c:numCache>
                <c:formatCode>mmm\-yy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</c:numCache>
            </c:numRef>
          </c:cat>
          <c:val>
            <c:numRef>
              <c:f>Data_History!$C$22:$N$22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7E-4A59-80E0-9481B4593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05160928"/>
        <c:axId val="1305155168"/>
      </c:barChart>
      <c:dateAx>
        <c:axId val="1305160928"/>
        <c:scaling>
          <c:orientation val="minMax"/>
        </c:scaling>
        <c:delete val="0"/>
        <c:axPos val="l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05155168"/>
        <c:crosses val="autoZero"/>
        <c:auto val="1"/>
        <c:lblOffset val="100"/>
        <c:baseTimeUnit val="months"/>
      </c:dateAx>
      <c:valAx>
        <c:axId val="130515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0516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 algn="ctr" rtl="0">
        <a:defRPr lang="en-US" sz="900" b="1" i="0" u="none" strike="noStrike" kern="1200" spc="0" baseline="0">
          <a:solidFill>
            <a:sysClr val="windowText" lastClr="000000"/>
          </a:solidFill>
          <a:latin typeface="Arial" panose="020B0604020202020204" pitchFamily="34" charset="0"/>
          <a:ea typeface="+mn-ea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Total</a:t>
            </a:r>
            <a:r>
              <a:rPr lang="en-US" b="1" baseline="0">
                <a:solidFill>
                  <a:sysClr val="windowText" lastClr="000000"/>
                </a:solidFill>
              </a:rPr>
              <a:t> Funds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76A-4FC5-ADC2-E3EE48591B99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76A-4FC5-ADC2-E3EE48591B99}"/>
              </c:ext>
            </c:extLst>
          </c:dPt>
          <c:dPt>
            <c:idx val="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76A-4FC5-ADC2-E3EE48591B99}"/>
              </c:ext>
            </c:extLst>
          </c:dPt>
          <c:dPt>
            <c:idx val="3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76A-4FC5-ADC2-E3EE48591B99}"/>
              </c:ext>
            </c:extLst>
          </c:dPt>
          <c:dPt>
            <c:idx val="4"/>
            <c:bubble3D val="0"/>
            <c:spPr>
              <a:solidFill>
                <a:schemeClr val="accent1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76A-4FC5-ADC2-E3EE48591B99}"/>
              </c:ext>
            </c:extLst>
          </c:dPt>
          <c:dLbls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Data_History!$A$18:$A$22</c:f>
              <c:strCache>
                <c:ptCount val="5"/>
                <c:pt idx="0">
                  <c:v>Thanksgiving offering</c:v>
                </c:pt>
                <c:pt idx="1">
                  <c:v>Love Offering</c:v>
                </c:pt>
                <c:pt idx="2">
                  <c:v>Foreign Currency </c:v>
                </c:pt>
                <c:pt idx="3">
                  <c:v>Donations</c:v>
                </c:pt>
                <c:pt idx="4">
                  <c:v>RCCG Charity </c:v>
                </c:pt>
              </c:strCache>
            </c:strRef>
          </c:cat>
          <c:val>
            <c:numRef>
              <c:f>Data_History!$B$18:$B$22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76A-4FC5-ADC2-E3EE48591B9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n>
                  <a:noFill/>
                </a:ln>
                <a:solidFill>
                  <a:schemeClr val="tx1"/>
                </a:solidFill>
              </a:rPr>
              <a:t>Found</a:t>
            </a:r>
            <a:r>
              <a:rPr lang="en-US" baseline="0">
                <a:ln>
                  <a:noFill/>
                </a:ln>
                <a:solidFill>
                  <a:schemeClr val="tx1"/>
                </a:solidFill>
              </a:rPr>
              <a:t> Collection</a:t>
            </a:r>
            <a:endParaRPr lang="en-US">
              <a:ln>
                <a:noFill/>
              </a:ln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Data_History!$C$10:$N$10</c:f>
              <c:numCache>
                <c:formatCode>mmm\-yy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</c:numCache>
            </c:numRef>
          </c:cat>
          <c:val>
            <c:numRef>
              <c:f>Data_History!$C$17:$N$17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91-497A-AED6-E63D795F6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959103552"/>
        <c:axId val="959104992"/>
      </c:lineChart>
      <c:dateAx>
        <c:axId val="95910355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104992"/>
        <c:crosses val="autoZero"/>
        <c:auto val="1"/>
        <c:lblOffset val="100"/>
        <c:baseTimeUnit val="months"/>
      </c:dateAx>
      <c:valAx>
        <c:axId val="9591049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10355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</a:t>
            </a:r>
            <a:r>
              <a:rPr lang="en-US" baseline="0"/>
              <a:t> Wise Total Funds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Data_History!$C$10:$N$10</c:f>
              <c:numCache>
                <c:formatCode>mmm\-yy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</c:numCache>
            </c:numRef>
          </c:cat>
          <c:val>
            <c:numRef>
              <c:f>Data_History!$C$17:$N$17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91-49A0-9D33-65D3E85BD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157568"/>
        <c:axId val="1305155648"/>
      </c:lineChart>
      <c:dateAx>
        <c:axId val="130515756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155648"/>
        <c:crosses val="autoZero"/>
        <c:auto val="1"/>
        <c:lblOffset val="100"/>
        <c:baseTimeUnit val="months"/>
      </c:dateAx>
      <c:valAx>
        <c:axId val="130515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15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Data_History!$A$25</c:f>
              <c:strCache>
                <c:ptCount val="1"/>
                <c:pt idx="0">
                  <c:v>Total Present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Data_History!$B$24:$AZ$24</c:f>
              <c:numCache>
                <c:formatCode>[$-409]d\-mmm;@</c:formatCode>
                <c:ptCount val="51"/>
                <c:pt idx="0">
                  <c:v>0</c:v>
                </c:pt>
              </c:numCache>
            </c:numRef>
          </c:cat>
          <c:val>
            <c:numRef>
              <c:f>Data_History!$B$25:$AZ$25</c:f>
              <c:numCache>
                <c:formatCode>General</c:formatCode>
                <c:ptCount val="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62-4CA2-B694-F0E6518FF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9322239"/>
        <c:axId val="1449308319"/>
      </c:lineChart>
      <c:dateAx>
        <c:axId val="1449322239"/>
        <c:scaling>
          <c:orientation val="minMax"/>
        </c:scaling>
        <c:delete val="0"/>
        <c:axPos val="b"/>
        <c:numFmt formatCode="[$-409]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308319"/>
        <c:crosses val="autoZero"/>
        <c:auto val="1"/>
        <c:lblOffset val="100"/>
        <c:baseTimeUnit val="days"/>
      </c:dateAx>
      <c:valAx>
        <c:axId val="1449308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322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Data_History!$C$10:$N$10</c:f>
              <c:numCache>
                <c:formatCode>mmm\-yy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</c:numCache>
            </c:numRef>
          </c:cat>
          <c:val>
            <c:numRef>
              <c:f>Data_History!$C$18:$N$18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F-4383-A876-2ECB0ECA2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37603311"/>
        <c:axId val="1337607151"/>
      </c:barChart>
      <c:dateAx>
        <c:axId val="1337603311"/>
        <c:scaling>
          <c:orientation val="minMax"/>
        </c:scaling>
        <c:delete val="0"/>
        <c:axPos val="l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7607151"/>
        <c:crosses val="autoZero"/>
        <c:auto val="1"/>
        <c:lblOffset val="100"/>
        <c:baseTimeUnit val="months"/>
      </c:dateAx>
      <c:valAx>
        <c:axId val="1337607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7603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2297900262467183"/>
          <c:y val="0.902777777777777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905-4CC6-9F3F-D65797688F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905-4CC6-9F3F-D65797688F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905-4CC6-9F3F-D65797688FB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905-4CC6-9F3F-D65797688FB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905-4CC6-9F3F-D65797688FB8}"/>
              </c:ext>
            </c:extLst>
          </c:dPt>
          <c:cat>
            <c:strRef>
              <c:f>Data_History!$A$18:$A$22</c:f>
              <c:strCache>
                <c:ptCount val="5"/>
                <c:pt idx="0">
                  <c:v>Thanksgiving offering</c:v>
                </c:pt>
                <c:pt idx="1">
                  <c:v>Love Offering</c:v>
                </c:pt>
                <c:pt idx="2">
                  <c:v>Foreign Currency </c:v>
                </c:pt>
                <c:pt idx="3">
                  <c:v>Donations</c:v>
                </c:pt>
                <c:pt idx="4">
                  <c:v>RCCG Charity </c:v>
                </c:pt>
              </c:strCache>
            </c:strRef>
          </c:cat>
          <c:val>
            <c:numRef>
              <c:f>Data_History!$B$18:$B$22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29-4D55-8897-5533A480B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Data_History!$C$10:$N$10</c:f>
              <c:numCache>
                <c:formatCode>mmm\-yy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</c:numCache>
            </c:numRef>
          </c:cat>
          <c:val>
            <c:numRef>
              <c:f>Data_History!$C$19:$N$19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D8-4707-BE27-B5632A655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38320143"/>
        <c:axId val="1638322063"/>
      </c:barChart>
      <c:dateAx>
        <c:axId val="1638320143"/>
        <c:scaling>
          <c:orientation val="minMax"/>
        </c:scaling>
        <c:delete val="0"/>
        <c:axPos val="l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8322063"/>
        <c:crosses val="autoZero"/>
        <c:auto val="1"/>
        <c:lblOffset val="100"/>
        <c:baseTimeUnit val="months"/>
      </c:dateAx>
      <c:valAx>
        <c:axId val="16383220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8320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Data_History!$C$10:$N$10</c:f>
              <c:numCache>
                <c:formatCode>mmm\-yy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</c:numCache>
            </c:numRef>
          </c:cat>
          <c:val>
            <c:numRef>
              <c:f>Data_History!$C$20:$N$20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09-4B60-B562-1AA43CB3A8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32408415"/>
        <c:axId val="1432402655"/>
      </c:barChart>
      <c:dateAx>
        <c:axId val="1432408415"/>
        <c:scaling>
          <c:orientation val="minMax"/>
        </c:scaling>
        <c:delete val="0"/>
        <c:axPos val="l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402655"/>
        <c:crosses val="autoZero"/>
        <c:auto val="1"/>
        <c:lblOffset val="100"/>
        <c:baseTimeUnit val="months"/>
      </c:dateAx>
      <c:valAx>
        <c:axId val="1432402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408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Data_History!$C$10:$N$10</c:f>
              <c:numCache>
                <c:formatCode>mmm\-yy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</c:numCache>
            </c:numRef>
          </c:cat>
          <c:val>
            <c:numRef>
              <c:f>Data_History!$C$21:$N$21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43-4B7E-ADD2-EC67E85D9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43205615"/>
        <c:axId val="1443198415"/>
      </c:barChart>
      <c:dateAx>
        <c:axId val="1443205615"/>
        <c:scaling>
          <c:orientation val="minMax"/>
        </c:scaling>
        <c:delete val="0"/>
        <c:axPos val="l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198415"/>
        <c:crosses val="autoZero"/>
        <c:auto val="1"/>
        <c:lblOffset val="100"/>
        <c:baseTimeUnit val="months"/>
      </c:dateAx>
      <c:valAx>
        <c:axId val="14431984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205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Data_History!$C$10:$N$10</c:f>
              <c:numCache>
                <c:formatCode>mmm\-yy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</c:numCache>
            </c:numRef>
          </c:cat>
          <c:val>
            <c:numRef>
              <c:f>Data_History!$C$22:$N$22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B4-432E-A2A0-EC3FAADB1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05160928"/>
        <c:axId val="1305155168"/>
      </c:barChart>
      <c:dateAx>
        <c:axId val="1305160928"/>
        <c:scaling>
          <c:orientation val="minMax"/>
        </c:scaling>
        <c:delete val="0"/>
        <c:axPos val="l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155168"/>
        <c:crosses val="autoZero"/>
        <c:auto val="1"/>
        <c:lblOffset val="100"/>
        <c:baseTimeUnit val="months"/>
      </c:dateAx>
      <c:valAx>
        <c:axId val="1305155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16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1" i="0" u="none" strike="noStrike" kern="1200" spc="0" baseline="0" dirty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Category</a:t>
            </a:r>
            <a:r>
              <a:rPr lang="en-US" sz="1400" b="0" i="0" u="none" strike="noStrike" baseline="0" dirty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ptos Narrow" panose="02110004020202020204"/>
              </a:rPr>
              <a:t> </a:t>
            </a:r>
            <a:r>
              <a:rPr lang="en-US" sz="1400" b="1" i="0" u="none" strike="noStrike" kern="1200" spc="0" baseline="0" dirty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Wise</a:t>
            </a:r>
            <a:r>
              <a:rPr lang="en-US" sz="1400" b="0" i="0" u="none" strike="noStrike" baseline="0" dirty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ptos Narrow" panose="02110004020202020204"/>
              </a:rPr>
              <a:t> </a:t>
            </a:r>
            <a:r>
              <a:rPr lang="en-US" sz="1400" b="1" i="0" u="none" strike="noStrike" kern="1200" spc="0" baseline="0" dirty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Total</a:t>
            </a:r>
            <a:r>
              <a:rPr lang="en-US" sz="1400" b="0" i="0" u="none" strike="noStrike" baseline="0" dirty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ptos Narrow" panose="02110004020202020204"/>
              </a:rPr>
              <a:t> </a:t>
            </a:r>
            <a:r>
              <a:rPr lang="en-US" sz="1400" b="1" i="0" u="none" strike="noStrike" kern="1200" spc="0" baseline="0" dirty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Funds</a:t>
            </a:r>
          </a:p>
        </cx:rich>
      </cx:tx>
    </cx:title>
    <cx:plotArea>
      <cx:plotAreaRegion>
        <cx:series layoutId="funnel" uniqueId="{B9B72D05-4157-4927-B1C2-E772545AF854}"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200" b="1">
                    <a:solidFill>
                      <a:schemeClr val="bg1"/>
                    </a:solidFill>
                  </a:defRPr>
                </a:pPr>
                <a:endParaRPr lang="en-US" sz="1200" b="1" i="0" u="none" strike="noStrike" baseline="0">
                  <a:solidFill>
                    <a:schemeClr val="bg1"/>
                  </a:solidFill>
                  <a:latin typeface="Aptos Narrow" panose="02110004020202020204"/>
                </a:endParaRPr>
              </a:p>
            </cx:txPr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1" i="0" u="none" strike="noStrik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</cx:chart>
  <cx:spPr>
    <a:ln>
      <a:solidFill>
        <a:sysClr val="windowText" lastClr="000000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_xlchart.v2.2</cx:f>
      </cx:strDim>
      <cx:numDim type="val">
        <cx:f>_xlchart.v2.3</cx:f>
      </cx:numDim>
    </cx:data>
  </cx:chartData>
  <cx:chart>
    <cx:title pos="t" align="ctr" overlay="0"/>
    <cx:plotArea>
      <cx:plotAreaRegion>
        <cx:series layoutId="funnel" uniqueId="{B9B72D05-4157-4927-B1C2-E772545AF854}"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a_History!$S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Radio" checked="Checked" firstButton="1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hyperlink" Target="#Dashboard!A1"/><Relationship Id="rId7" Type="http://schemas.openxmlformats.org/officeDocument/2006/relationships/chart" Target="../charts/chart4.xml"/><Relationship Id="rId12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3.xml"/><Relationship Id="rId11" Type="http://schemas.openxmlformats.org/officeDocument/2006/relationships/chart" Target="../charts/chart8.xml"/><Relationship Id="rId5" Type="http://schemas.openxmlformats.org/officeDocument/2006/relationships/hyperlink" Target="#Input!A1"/><Relationship Id="rId10" Type="http://schemas.openxmlformats.org/officeDocument/2006/relationships/chart" Target="../charts/chart7.xml"/><Relationship Id="rId4" Type="http://schemas.openxmlformats.org/officeDocument/2006/relationships/hyperlink" Target="#Archive!A1"/><Relationship Id="rId9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microsoft.com/office/2014/relationships/chartEx" Target="../charts/chartEx2.xml"/><Relationship Id="rId1" Type="http://schemas.openxmlformats.org/officeDocument/2006/relationships/chart" Target="../charts/chart9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10" Type="http://schemas.openxmlformats.org/officeDocument/2006/relationships/chart" Target="../charts/chart17.xml"/><Relationship Id="rId4" Type="http://schemas.openxmlformats.org/officeDocument/2006/relationships/chart" Target="../charts/chart11.xml"/><Relationship Id="rId9" Type="http://schemas.openxmlformats.org/officeDocument/2006/relationships/chart" Target="../charts/chart16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76198</xdr:colOff>
      <xdr:row>1</xdr:row>
      <xdr:rowOff>1</xdr:rowOff>
    </xdr:from>
    <xdr:to>
      <xdr:col>28</xdr:col>
      <xdr:colOff>66674</xdr:colOff>
      <xdr:row>10</xdr:row>
      <xdr:rowOff>85726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76200</xdr:colOff>
      <xdr:row>10</xdr:row>
      <xdr:rowOff>171450</xdr:rowOff>
    </xdr:from>
    <xdr:to>
      <xdr:col>28</xdr:col>
      <xdr:colOff>68199</xdr:colOff>
      <xdr:row>21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</xdr:col>
      <xdr:colOff>619125</xdr:colOff>
      <xdr:row>1</xdr:row>
      <xdr:rowOff>19050</xdr:rowOff>
    </xdr:from>
    <xdr:to>
      <xdr:col>6</xdr:col>
      <xdr:colOff>142875</xdr:colOff>
      <xdr:row>4</xdr:row>
      <xdr:rowOff>9525</xdr:rowOff>
    </xdr:to>
    <xdr:sp macro="" textlink="">
      <xdr:nvSpPr>
        <xdr:cNvPr id="6" name="Rectangle: Rounded Corner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476500" y="209550"/>
          <a:ext cx="1428750" cy="571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1</xdr:col>
      <xdr:colOff>628650</xdr:colOff>
      <xdr:row>5</xdr:row>
      <xdr:rowOff>38100</xdr:rowOff>
    </xdr:from>
    <xdr:to>
      <xdr:col>4</xdr:col>
      <xdr:colOff>333375</xdr:colOff>
      <xdr:row>8</xdr:row>
      <xdr:rowOff>38100</xdr:rowOff>
    </xdr:to>
    <xdr:sp macro="" textlink="">
      <xdr:nvSpPr>
        <xdr:cNvPr id="8" name="Rectangle: Rounded Corners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162050" y="1000125"/>
          <a:ext cx="1714500" cy="571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4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Archive</a:t>
          </a:r>
        </a:p>
      </xdr:txBody>
    </xdr:sp>
    <xdr:clientData/>
  </xdr:twoCellAnchor>
  <xdr:twoCellAnchor editAs="absolute">
    <xdr:from>
      <xdr:col>5</xdr:col>
      <xdr:colOff>57149</xdr:colOff>
      <xdr:row>5</xdr:row>
      <xdr:rowOff>19050</xdr:rowOff>
    </xdr:from>
    <xdr:to>
      <xdr:col>7</xdr:col>
      <xdr:colOff>652271</xdr:colOff>
      <xdr:row>8</xdr:row>
      <xdr:rowOff>19050</xdr:rowOff>
    </xdr:to>
    <xdr:sp macro="" textlink="">
      <xdr:nvSpPr>
        <xdr:cNvPr id="9" name="Rectangle: Rounded Corners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209924" y="981075"/>
          <a:ext cx="1719072" cy="571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4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Input</a:t>
          </a:r>
        </a:p>
      </xdr:txBody>
    </xdr:sp>
    <xdr:clientData/>
  </xdr:twoCellAnchor>
  <xdr:twoCellAnchor editAs="absolute">
    <xdr:from>
      <xdr:col>8</xdr:col>
      <xdr:colOff>76201</xdr:colOff>
      <xdr:row>22</xdr:row>
      <xdr:rowOff>0</xdr:rowOff>
    </xdr:from>
    <xdr:to>
      <xdr:col>11</xdr:col>
      <xdr:colOff>428624</xdr:colOff>
      <xdr:row>39</xdr:row>
      <xdr:rowOff>68960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11</xdr:col>
      <xdr:colOff>581025</xdr:colOff>
      <xdr:row>30</xdr:row>
      <xdr:rowOff>9525</xdr:rowOff>
    </xdr:from>
    <xdr:to>
      <xdr:col>15</xdr:col>
      <xdr:colOff>390525</xdr:colOff>
      <xdr:row>39</xdr:row>
      <xdr:rowOff>78486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15</xdr:col>
      <xdr:colOff>571500</xdr:colOff>
      <xdr:row>30</xdr:row>
      <xdr:rowOff>9525</xdr:rowOff>
    </xdr:from>
    <xdr:to>
      <xdr:col>19</xdr:col>
      <xdr:colOff>428625</xdr:colOff>
      <xdr:row>39</xdr:row>
      <xdr:rowOff>78486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19</xdr:col>
      <xdr:colOff>600075</xdr:colOff>
      <xdr:row>30</xdr:row>
      <xdr:rowOff>9525</xdr:rowOff>
    </xdr:from>
    <xdr:to>
      <xdr:col>24</xdr:col>
      <xdr:colOff>161925</xdr:colOff>
      <xdr:row>39</xdr:row>
      <xdr:rowOff>76200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24</xdr:col>
      <xdr:colOff>266700</xdr:colOff>
      <xdr:row>30</xdr:row>
      <xdr:rowOff>9525</xdr:rowOff>
    </xdr:from>
    <xdr:to>
      <xdr:col>28</xdr:col>
      <xdr:colOff>85725</xdr:colOff>
      <xdr:row>39</xdr:row>
      <xdr:rowOff>78486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4</xdr:row>
          <xdr:rowOff>28575</xdr:rowOff>
        </xdr:from>
        <xdr:to>
          <xdr:col>1</xdr:col>
          <xdr:colOff>523875</xdr:colOff>
          <xdr:row>7</xdr:row>
          <xdr:rowOff>0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B3CDE2"/>
            </a:solidFill>
            <a:ln w="9525">
              <a:solidFill>
                <a:srgbClr val="0F4861"/>
              </a:solidFill>
              <a:prstDash val="dash"/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Sunday Service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7</xdr:row>
          <xdr:rowOff>38100</xdr:rowOff>
        </xdr:from>
        <xdr:to>
          <xdr:col>1</xdr:col>
          <xdr:colOff>523875</xdr:colOff>
          <xdr:row>10</xdr:row>
          <xdr:rowOff>9525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B3CDE2"/>
            </a:solidFill>
            <a:ln w="9525">
              <a:solidFill>
                <a:srgbClr val="0F4861"/>
              </a:solidFill>
              <a:prstDash val="dash"/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Bible Studies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10</xdr:row>
          <xdr:rowOff>47625</xdr:rowOff>
        </xdr:from>
        <xdr:to>
          <xdr:col>1</xdr:col>
          <xdr:colOff>523875</xdr:colOff>
          <xdr:row>13</xdr:row>
          <xdr:rowOff>19050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B3CDE2"/>
            </a:solidFill>
            <a:ln w="9525">
              <a:solidFill>
                <a:srgbClr val="0F4861"/>
              </a:solidFill>
              <a:prstDash val="dash"/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Youth Programs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13</xdr:row>
          <xdr:rowOff>57150</xdr:rowOff>
        </xdr:from>
        <xdr:to>
          <xdr:col>1</xdr:col>
          <xdr:colOff>523875</xdr:colOff>
          <xdr:row>16</xdr:row>
          <xdr:rowOff>28575</xdr:rowOff>
        </xdr:to>
        <xdr:sp macro="" textlink="">
          <xdr:nvSpPr>
            <xdr:cNvPr id="3086" name="Option 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B3CDE2"/>
            </a:solidFill>
            <a:ln w="9525">
              <a:solidFill>
                <a:srgbClr val="0F4861"/>
              </a:solidFill>
              <a:prstDash val="dash"/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Community Outreach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30</xdr:row>
          <xdr:rowOff>95250</xdr:rowOff>
        </xdr:from>
        <xdr:to>
          <xdr:col>1</xdr:col>
          <xdr:colOff>523875</xdr:colOff>
          <xdr:row>30</xdr:row>
          <xdr:rowOff>609600</xdr:rowOff>
        </xdr:to>
        <xdr:sp macro="" textlink="">
          <xdr:nvSpPr>
            <xdr:cNvPr id="3087" name="Option 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B3CDE2"/>
            </a:solidFill>
            <a:ln w="9525">
              <a:solidFill>
                <a:srgbClr val="0F4861"/>
              </a:solidFill>
              <a:prstDash val="dash"/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Music and Choir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19</xdr:row>
          <xdr:rowOff>66675</xdr:rowOff>
        </xdr:from>
        <xdr:to>
          <xdr:col>1</xdr:col>
          <xdr:colOff>533400</xdr:colOff>
          <xdr:row>30</xdr:row>
          <xdr:rowOff>57150</xdr:rowOff>
        </xdr:to>
        <xdr:sp macro="" textlink="">
          <xdr:nvSpPr>
            <xdr:cNvPr id="3088" name="Option 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B3CDE2"/>
            </a:solidFill>
            <a:ln w="9525">
              <a:solidFill>
                <a:srgbClr val="0F4861"/>
              </a:solidFill>
              <a:prstDash val="dash"/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Marriage and Family Counseling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66675</xdr:rowOff>
        </xdr:from>
        <xdr:to>
          <xdr:col>1</xdr:col>
          <xdr:colOff>523875</xdr:colOff>
          <xdr:row>19</xdr:row>
          <xdr:rowOff>28575</xdr:rowOff>
        </xdr:to>
        <xdr:sp macro="" textlink="">
          <xdr:nvSpPr>
            <xdr:cNvPr id="3089" name="Option 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B3CDE2"/>
            </a:solidFill>
            <a:ln w="9525">
              <a:solidFill>
                <a:srgbClr val="0F4861"/>
              </a:solidFill>
              <a:prstDash val="dash"/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Prayer Meetings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31</xdr:row>
          <xdr:rowOff>9525</xdr:rowOff>
        </xdr:from>
        <xdr:to>
          <xdr:col>1</xdr:col>
          <xdr:colOff>523875</xdr:colOff>
          <xdr:row>33</xdr:row>
          <xdr:rowOff>161925</xdr:rowOff>
        </xdr:to>
        <xdr:sp macro="" textlink="">
          <xdr:nvSpPr>
            <xdr:cNvPr id="3090" name="Option 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B3CDE2"/>
            </a:solidFill>
            <a:ln w="9525">
              <a:solidFill>
                <a:srgbClr val="0F4861"/>
              </a:solidFill>
              <a:prstDash val="dash"/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Mission Trips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34</xdr:row>
          <xdr:rowOff>19050</xdr:rowOff>
        </xdr:from>
        <xdr:to>
          <xdr:col>1</xdr:col>
          <xdr:colOff>533400</xdr:colOff>
          <xdr:row>36</xdr:row>
          <xdr:rowOff>171450</xdr:rowOff>
        </xdr:to>
        <xdr:sp macro="" textlink="">
          <xdr:nvSpPr>
            <xdr:cNvPr id="3091" name="Option 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B3CDE2"/>
            </a:solidFill>
            <a:ln w="9525">
              <a:solidFill>
                <a:srgbClr val="0F4861"/>
              </a:solidFill>
              <a:prstDash val="dash"/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Educational Programs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1</xdr:row>
          <xdr:rowOff>38100</xdr:rowOff>
        </xdr:from>
        <xdr:to>
          <xdr:col>1</xdr:col>
          <xdr:colOff>523875</xdr:colOff>
          <xdr:row>3</xdr:row>
          <xdr:rowOff>171450</xdr:rowOff>
        </xdr:to>
        <xdr:sp macro="" textlink="">
          <xdr:nvSpPr>
            <xdr:cNvPr id="3092" name="Option 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B3CDE2"/>
            </a:solidFill>
            <a:ln w="9525">
              <a:solidFill>
                <a:srgbClr val="0F4861"/>
              </a:solidFill>
              <a:prstDash val="dash"/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All</a:t>
              </a:r>
            </a:p>
          </xdr:txBody>
        </xdr:sp>
        <xdr:clientData/>
      </xdr:twoCellAnchor>
    </mc:Choice>
    <mc:Fallback/>
  </mc:AlternateContent>
  <xdr:twoCellAnchor editAs="absolute">
    <xdr:from>
      <xdr:col>1</xdr:col>
      <xdr:colOff>542924</xdr:colOff>
      <xdr:row>9</xdr:row>
      <xdr:rowOff>66676</xdr:rowOff>
    </xdr:from>
    <xdr:to>
      <xdr:col>7</xdr:col>
      <xdr:colOff>657224</xdr:colOff>
      <xdr:row>21</xdr:row>
      <xdr:rowOff>38100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1</xdr:col>
      <xdr:colOff>542924</xdr:colOff>
      <xdr:row>30</xdr:row>
      <xdr:rowOff>0</xdr:rowOff>
    </xdr:from>
    <xdr:to>
      <xdr:col>7</xdr:col>
      <xdr:colOff>647700</xdr:colOff>
      <xdr:row>39</xdr:row>
      <xdr:rowOff>66675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3981450"/>
              <a:ext cx="4324351" cy="2152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1143000</xdr:colOff>
          <xdr:row>0</xdr:row>
          <xdr:rowOff>66675</xdr:rowOff>
        </xdr:from>
        <xdr:to>
          <xdr:col>5</xdr:col>
          <xdr:colOff>1133475</xdr:colOff>
          <xdr:row>2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and Archive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166687</xdr:rowOff>
    </xdr:from>
    <xdr:to>
      <xdr:col>13</xdr:col>
      <xdr:colOff>323850</xdr:colOff>
      <xdr:row>0</xdr:row>
      <xdr:rowOff>166687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49</xdr:row>
      <xdr:rowOff>138112</xdr:rowOff>
    </xdr:from>
    <xdr:to>
      <xdr:col>6</xdr:col>
      <xdr:colOff>133350</xdr:colOff>
      <xdr:row>64</xdr:row>
      <xdr:rowOff>23812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062912"/>
              <a:ext cx="5219700" cy="2600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6</xdr:col>
      <xdr:colOff>419100</xdr:colOff>
      <xdr:row>49</xdr:row>
      <xdr:rowOff>147637</xdr:rowOff>
    </xdr:from>
    <xdr:to>
      <xdr:col>13</xdr:col>
      <xdr:colOff>495300</xdr:colOff>
      <xdr:row>64</xdr:row>
      <xdr:rowOff>33337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176211</xdr:colOff>
      <xdr:row>29</xdr:row>
      <xdr:rowOff>157162</xdr:rowOff>
    </xdr:from>
    <xdr:to>
      <xdr:col>16</xdr:col>
      <xdr:colOff>38100</xdr:colOff>
      <xdr:row>44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276225</xdr:colOff>
      <xdr:row>30</xdr:row>
      <xdr:rowOff>104774</xdr:rowOff>
    </xdr:from>
    <xdr:to>
      <xdr:col>23</xdr:col>
      <xdr:colOff>400050</xdr:colOff>
      <xdr:row>43</xdr:row>
      <xdr:rowOff>100011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76200</xdr:colOff>
      <xdr:row>49</xdr:row>
      <xdr:rowOff>90487</xdr:rowOff>
    </xdr:from>
    <xdr:to>
      <xdr:col>21</xdr:col>
      <xdr:colOff>95250</xdr:colOff>
      <xdr:row>63</xdr:row>
      <xdr:rowOff>166687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19050</xdr:colOff>
      <xdr:row>65</xdr:row>
      <xdr:rowOff>23812</xdr:rowOff>
    </xdr:from>
    <xdr:to>
      <xdr:col>6</xdr:col>
      <xdr:colOff>152400</xdr:colOff>
      <xdr:row>79</xdr:row>
      <xdr:rowOff>100012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228600</xdr:colOff>
      <xdr:row>65</xdr:row>
      <xdr:rowOff>4762</xdr:rowOff>
    </xdr:from>
    <xdr:to>
      <xdr:col>13</xdr:col>
      <xdr:colOff>304800</xdr:colOff>
      <xdr:row>79</xdr:row>
      <xdr:rowOff>80962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476250</xdr:colOff>
      <xdr:row>65</xdr:row>
      <xdr:rowOff>33337</xdr:rowOff>
    </xdr:from>
    <xdr:to>
      <xdr:col>20</xdr:col>
      <xdr:colOff>581025</xdr:colOff>
      <xdr:row>79</xdr:row>
      <xdr:rowOff>109537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228600</xdr:colOff>
      <xdr:row>49</xdr:row>
      <xdr:rowOff>152400</xdr:rowOff>
    </xdr:from>
    <xdr:to>
      <xdr:col>26</xdr:col>
      <xdr:colOff>180975</xdr:colOff>
      <xdr:row>61</xdr:row>
      <xdr:rowOff>80962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561975</xdr:colOff>
          <xdr:row>7</xdr:row>
          <xdr:rowOff>66675</xdr:rowOff>
        </xdr:from>
        <xdr:to>
          <xdr:col>19</xdr:col>
          <xdr:colOff>571500</xdr:colOff>
          <xdr:row>16</xdr:row>
          <xdr:rowOff>9525</xdr:rowOff>
        </xdr:to>
        <xdr:sp macro="" textlink="">
          <xdr:nvSpPr>
            <xdr:cNvPr id="4102" name="Option 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Sunday Service</a:t>
              </a:r>
            </a:p>
          </xdr:txBody>
        </xdr:sp>
        <xdr:clientData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0D81B69-17B9-4C19-A10E-5C0EDB78B707}">
  <we:reference id="wa104379190" version="2.0.0.0" store="en-US" storeType="OMEX"/>
  <we:alternateReferences>
    <we:reference id="wa104379190" version="2.0.0.0" store="WA104379190" storeType="OMEX"/>
  </we:alternateReferences>
  <we:properties/>
  <we:bindings>
    <we:binding id="RangeSelect" type="matrix" appref="{D182DB5D-6DD8-4455-B656-265AC4212B47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BA1F7-8DE7-4927-8437-EC33CCDC9187}">
  <sheetPr codeName="Sheet4"/>
  <dimension ref="A1:AE40"/>
  <sheetViews>
    <sheetView showGridLines="0" tabSelected="1" zoomScale="85" zoomScaleNormal="85" workbookViewId="0">
      <selection activeCell="G3" sqref="G3"/>
    </sheetView>
  </sheetViews>
  <sheetFormatPr defaultColWidth="0" defaultRowHeight="14.25" zeroHeight="1"/>
  <cols>
    <col min="1" max="1" width="9" customWidth="1"/>
    <col min="2" max="2" width="10.375" customWidth="1"/>
    <col min="3" max="7" width="9" customWidth="1"/>
    <col min="8" max="8" width="10" customWidth="1"/>
    <col min="9" max="27" width="9" customWidth="1"/>
    <col min="28" max="28" width="14.375" customWidth="1"/>
    <col min="29" max="29" width="2" customWidth="1"/>
    <col min="30" max="30" width="9" hidden="1" customWidth="1"/>
    <col min="31" max="31" width="0" hidden="1" customWidth="1"/>
    <col min="32" max="16384" width="9" hidden="1"/>
  </cols>
  <sheetData>
    <row r="1" spans="31:31"/>
    <row r="2" spans="31:31" ht="15.75" customHeight="1"/>
    <row r="3" spans="31:31"/>
    <row r="4" spans="31:31">
      <c r="AE4" s="43"/>
    </row>
    <row r="5" spans="31:31"/>
    <row r="6" spans="31:31"/>
    <row r="7" spans="31:31"/>
    <row r="8" spans="31:31"/>
    <row r="9" spans="31:31"/>
    <row r="10" spans="31:31"/>
    <row r="11" spans="31:31"/>
    <row r="12" spans="31:31"/>
    <row r="13" spans="31:31"/>
    <row r="14" spans="31:31"/>
    <row r="15" spans="31:31"/>
    <row r="16" spans="31:31"/>
    <row r="17"/>
    <row r="18"/>
    <row r="19"/>
    <row r="20"/>
    <row r="21"/>
    <row r="22" ht="12" customHeight="1"/>
    <row r="30" ht="0.75" customHeight="1"/>
    <row r="31" ht="50.25" customHeight="1"/>
    <row r="32"/>
    <row r="33"/>
    <row r="34"/>
    <row r="35"/>
    <row r="36"/>
    <row r="37"/>
    <row r="38"/>
    <row r="39"/>
    <row r="40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Option Button 11">
              <controlPr defaultSize="0" autoFill="0" autoLine="0" autoPict="0">
                <anchor>
                  <from>
                    <xdr:col>0</xdr:col>
                    <xdr:colOff>28575</xdr:colOff>
                    <xdr:row>4</xdr:row>
                    <xdr:rowOff>28575</xdr:rowOff>
                  </from>
                  <to>
                    <xdr:col>1</xdr:col>
                    <xdr:colOff>523875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Option Button 12">
              <controlPr defaultSize="0" autoFill="0" autoLine="0" autoPict="0">
                <anchor>
                  <from>
                    <xdr:col>0</xdr:col>
                    <xdr:colOff>19050</xdr:colOff>
                    <xdr:row>7</xdr:row>
                    <xdr:rowOff>38100</xdr:rowOff>
                  </from>
                  <to>
                    <xdr:col>1</xdr:col>
                    <xdr:colOff>523875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Option Button 13">
              <controlPr defaultSize="0" autoFill="0" autoLine="0" autoPict="0">
                <anchor>
                  <from>
                    <xdr:col>0</xdr:col>
                    <xdr:colOff>28575</xdr:colOff>
                    <xdr:row>10</xdr:row>
                    <xdr:rowOff>47625</xdr:rowOff>
                  </from>
                  <to>
                    <xdr:col>1</xdr:col>
                    <xdr:colOff>523875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7" name="Option Button 14">
              <controlPr defaultSize="0" autoFill="0" autoLine="0" autoPict="0">
                <anchor>
                  <from>
                    <xdr:col>0</xdr:col>
                    <xdr:colOff>28575</xdr:colOff>
                    <xdr:row>13</xdr:row>
                    <xdr:rowOff>57150</xdr:rowOff>
                  </from>
                  <to>
                    <xdr:col>1</xdr:col>
                    <xdr:colOff>523875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8" name="Option Button 15">
              <controlPr defaultSize="0" autoFill="0" autoLine="0" autoPict="0">
                <anchor>
                  <from>
                    <xdr:col>0</xdr:col>
                    <xdr:colOff>0</xdr:colOff>
                    <xdr:row>30</xdr:row>
                    <xdr:rowOff>95250</xdr:rowOff>
                  </from>
                  <to>
                    <xdr:col>1</xdr:col>
                    <xdr:colOff>523875</xdr:colOff>
                    <xdr:row>30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9" name="Option Button 16">
              <controlPr defaultSize="0" autoFill="0" autoLine="0" autoPict="0">
                <anchor>
                  <from>
                    <xdr:col>0</xdr:col>
                    <xdr:colOff>9525</xdr:colOff>
                    <xdr:row>19</xdr:row>
                    <xdr:rowOff>66675</xdr:rowOff>
                  </from>
                  <to>
                    <xdr:col>1</xdr:col>
                    <xdr:colOff>533400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0" name="Option Button 17">
              <controlPr defaultSize="0" autoFill="0" autoLine="0" autoPict="0">
                <anchor>
                  <from>
                    <xdr:col>0</xdr:col>
                    <xdr:colOff>19050</xdr:colOff>
                    <xdr:row>16</xdr:row>
                    <xdr:rowOff>66675</xdr:rowOff>
                  </from>
                  <to>
                    <xdr:col>1</xdr:col>
                    <xdr:colOff>523875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1" name="Option Button 18">
              <controlPr defaultSize="0" autoFill="0" autoLine="0" autoPict="0">
                <anchor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1</xdr:col>
                    <xdr:colOff>523875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2" name="Option Button 19">
              <controlPr defaultSize="0" autoFill="0" autoLine="0" autoPict="0">
                <anchor>
                  <from>
                    <xdr:col>0</xdr:col>
                    <xdr:colOff>9525</xdr:colOff>
                    <xdr:row>34</xdr:row>
                    <xdr:rowOff>19050</xdr:rowOff>
                  </from>
                  <to>
                    <xdr:col>1</xdr:col>
                    <xdr:colOff>533400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3" name="Option Button 20">
              <controlPr defaultSize="0" autoFill="0" autoLine="0" autoPict="0">
                <anchor>
                  <from>
                    <xdr:col>0</xdr:col>
                    <xdr:colOff>28575</xdr:colOff>
                    <xdr:row>1</xdr:row>
                    <xdr:rowOff>38100</xdr:rowOff>
                  </from>
                  <to>
                    <xdr:col>1</xdr:col>
                    <xdr:colOff>523875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62C3B-1CC5-4278-A3CD-03EA6C5283DF}">
  <sheetPr codeName="Sheet5"/>
  <dimension ref="A3:B11"/>
  <sheetViews>
    <sheetView workbookViewId="0">
      <selection activeCell="A24" sqref="A24"/>
    </sheetView>
  </sheetViews>
  <sheetFormatPr defaultRowHeight="14.25"/>
  <cols>
    <col min="1" max="1" width="27.375" bestFit="1" customWidth="1"/>
  </cols>
  <sheetData>
    <row r="3" spans="1:2">
      <c r="A3" t="s">
        <v>21</v>
      </c>
      <c r="B3">
        <v>1</v>
      </c>
    </row>
    <row r="4" spans="1:2">
      <c r="A4" t="s">
        <v>22</v>
      </c>
      <c r="B4">
        <v>2</v>
      </c>
    </row>
    <row r="5" spans="1:2">
      <c r="A5" t="s">
        <v>23</v>
      </c>
      <c r="B5">
        <v>3</v>
      </c>
    </row>
    <row r="6" spans="1:2">
      <c r="A6" t="s">
        <v>24</v>
      </c>
      <c r="B6">
        <v>4</v>
      </c>
    </row>
    <row r="7" spans="1:2">
      <c r="A7" t="s">
        <v>25</v>
      </c>
      <c r="B7">
        <v>7</v>
      </c>
    </row>
    <row r="8" spans="1:2">
      <c r="A8" t="s">
        <v>26</v>
      </c>
      <c r="B8">
        <v>6</v>
      </c>
    </row>
    <row r="9" spans="1:2">
      <c r="A9" t="s">
        <v>27</v>
      </c>
      <c r="B9">
        <v>5</v>
      </c>
    </row>
    <row r="10" spans="1:2">
      <c r="A10" t="s">
        <v>28</v>
      </c>
      <c r="B10">
        <v>8</v>
      </c>
    </row>
    <row r="11" spans="1:2">
      <c r="A11" t="s">
        <v>29</v>
      </c>
      <c r="B11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F65BA-EEFA-4CA1-ADA0-073DBD686D85}">
  <sheetPr codeName="Sheet1"/>
  <dimension ref="A1:H25"/>
  <sheetViews>
    <sheetView showGridLines="0" workbookViewId="0"/>
  </sheetViews>
  <sheetFormatPr defaultColWidth="0" defaultRowHeight="14.25" zeroHeight="1"/>
  <cols>
    <col min="1" max="1" width="11" bestFit="1" customWidth="1"/>
    <col min="2" max="2" width="28.25" bestFit="1" customWidth="1"/>
    <col min="3" max="3" width="16.75" bestFit="1" customWidth="1"/>
    <col min="4" max="4" width="12.25" bestFit="1" customWidth="1"/>
    <col min="5" max="5" width="19" bestFit="1" customWidth="1"/>
    <col min="6" max="6" width="17.875" bestFit="1" customWidth="1"/>
    <col min="7" max="8" width="9.125" hidden="1" customWidth="1"/>
    <col min="9" max="16384" width="9.125" hidden="1"/>
  </cols>
  <sheetData>
    <row r="1" spans="1:8">
      <c r="A1" s="1"/>
    </row>
    <row r="2" spans="1:8">
      <c r="A2" s="1"/>
    </row>
    <row r="3" spans="1:8">
      <c r="A3" s="1"/>
    </row>
    <row r="4" spans="1:8">
      <c r="A4" s="1"/>
    </row>
    <row r="5" spans="1:8">
      <c r="A5" s="1"/>
    </row>
    <row r="6" spans="1:8" ht="15">
      <c r="A6" s="65" t="s">
        <v>0</v>
      </c>
      <c r="B6" s="65"/>
      <c r="C6" s="65"/>
      <c r="D6" s="65"/>
      <c r="E6" s="65"/>
      <c r="F6" s="65"/>
      <c r="G6" s="51"/>
      <c r="H6" s="51"/>
    </row>
    <row r="7" spans="1:8" ht="15">
      <c r="A7" s="65" t="s">
        <v>1</v>
      </c>
      <c r="B7" s="65"/>
      <c r="C7" s="65"/>
      <c r="D7" s="65"/>
      <c r="E7" s="65"/>
      <c r="F7" s="65"/>
      <c r="G7" s="65"/>
      <c r="H7" s="65"/>
    </row>
    <row r="8" spans="1:8" ht="15">
      <c r="A8" s="65" t="s">
        <v>2</v>
      </c>
      <c r="B8" s="65"/>
      <c r="C8" s="65"/>
      <c r="D8" s="65"/>
      <c r="E8" s="65"/>
      <c r="F8" s="65"/>
      <c r="G8" s="65"/>
      <c r="H8" s="65"/>
    </row>
    <row r="9" spans="1:8">
      <c r="A9" s="1"/>
    </row>
    <row r="10" spans="1:8" ht="16.5" thickBot="1">
      <c r="A10" s="44" t="s">
        <v>3</v>
      </c>
      <c r="B10" s="45" t="s">
        <v>4</v>
      </c>
      <c r="C10" s="45" t="s">
        <v>5</v>
      </c>
      <c r="D10" s="45" t="s">
        <v>6</v>
      </c>
      <c r="E10" s="45" t="s">
        <v>7</v>
      </c>
      <c r="F10" s="45" t="s">
        <v>17</v>
      </c>
    </row>
    <row r="11" spans="1:8">
      <c r="A11" s="49">
        <f ca="1">TODAY()+1</f>
        <v>45673</v>
      </c>
      <c r="B11" s="40" t="s">
        <v>21</v>
      </c>
      <c r="C11" s="41"/>
    </row>
    <row r="12" spans="1:8">
      <c r="A12" s="50">
        <f ca="1">A11</f>
        <v>45673</v>
      </c>
      <c r="B12" s="46" t="s">
        <v>8</v>
      </c>
      <c r="C12" s="43"/>
    </row>
    <row r="13" spans="1:8">
      <c r="A13" s="42"/>
      <c r="B13" s="46" t="s">
        <v>9</v>
      </c>
      <c r="C13" s="43"/>
    </row>
    <row r="14" spans="1:8">
      <c r="A14" s="42"/>
      <c r="B14" s="46" t="s">
        <v>10</v>
      </c>
      <c r="C14" s="43"/>
    </row>
    <row r="15" spans="1:8" ht="15" thickBot="1">
      <c r="A15" s="42"/>
      <c r="B15" s="46"/>
      <c r="C15" s="43"/>
    </row>
    <row r="16" spans="1:8" ht="16.5" thickTop="1">
      <c r="A16" s="42"/>
      <c r="B16" s="48" t="s">
        <v>16</v>
      </c>
      <c r="C16" s="47">
        <f>SUM(C12:C14)</f>
        <v>0</v>
      </c>
    </row>
    <row r="17" spans="1:3">
      <c r="A17" s="42"/>
      <c r="B17" s="40"/>
    </row>
    <row r="18" spans="1:3">
      <c r="A18" s="42"/>
      <c r="B18" s="40" t="s">
        <v>11</v>
      </c>
    </row>
    <row r="19" spans="1:3">
      <c r="A19" s="42"/>
      <c r="B19" s="40" t="s">
        <v>12</v>
      </c>
    </row>
    <row r="20" spans="1:3">
      <c r="A20" s="42"/>
      <c r="B20" s="40" t="s">
        <v>13</v>
      </c>
    </row>
    <row r="21" spans="1:3">
      <c r="A21" s="42"/>
      <c r="B21" s="40" t="s">
        <v>14</v>
      </c>
    </row>
    <row r="22" spans="1:3">
      <c r="A22" s="42"/>
      <c r="B22" s="40" t="s">
        <v>15</v>
      </c>
    </row>
    <row r="23" spans="1:3" ht="15" thickBot="1">
      <c r="A23" s="1"/>
    </row>
    <row r="24" spans="1:3" ht="16.5" thickTop="1">
      <c r="A24" s="1"/>
      <c r="B24" s="48" t="s">
        <v>16</v>
      </c>
      <c r="C24" s="52">
        <f>SUM(C18:C22)</f>
        <v>0</v>
      </c>
    </row>
    <row r="25" spans="1:3"/>
  </sheetData>
  <mergeCells count="5">
    <mergeCell ref="A6:F6"/>
    <mergeCell ref="A7:F7"/>
    <mergeCell ref="G7:H7"/>
    <mergeCell ref="A8:F8"/>
    <mergeCell ref="G8:H8"/>
  </mergeCells>
  <pageMargins left="0.7" right="0.7" top="0.75" bottom="0.75" header="0.3" footer="0.3"/>
  <pageSetup paperSize="9" scale="75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rchiveAndAppendDataWith15RowGap">
                <anchor moveWithCells="1" sizeWithCells="1">
                  <from>
                    <xdr:col>4</xdr:col>
                    <xdr:colOff>1143000</xdr:colOff>
                    <xdr:row>0</xdr:row>
                    <xdr:rowOff>66675</xdr:rowOff>
                  </from>
                  <to>
                    <xdr:col>5</xdr:col>
                    <xdr:colOff>1133475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Select" xr:uid="{60212374-DC25-46C1-A7CA-029C9FDDB3E7}">
          <x14:formula1>
            <xm:f>Lists!$A$3:$A$11</xm:f>
          </x14:formula1>
          <xm:sqref>B11</xm:sqref>
        </x14:dataValidation>
      </x14:dataValidations>
    </ext>
    <ext xmlns:x15="http://schemas.microsoft.com/office/spreadsheetml/2010/11/main" uri="{F7C9EE02-42E1-4005-9D12-6889AFFD525C}">
      <x15:webExtensions xmlns:xm="http://schemas.microsoft.com/office/excel/2006/main">
        <x15:webExtension appRef="{D182DB5D-6DD8-4455-B656-265AC4212B47}">
          <xm:f>Input!1:1048576</xm:f>
        </x15:webExtension>
      </x15:webExtens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94CBE-F69E-4F5D-9B9D-D90D25860928}">
  <sheetPr codeName="Sheet2"/>
  <dimension ref="A1:J4026"/>
  <sheetViews>
    <sheetView zoomScaleNormal="100" workbookViewId="0">
      <pane ySplit="10" topLeftCell="A11" activePane="bottomLeft" state="frozen"/>
      <selection pane="bottomLeft" activeCell="E31" sqref="E31"/>
    </sheetView>
  </sheetViews>
  <sheetFormatPr defaultColWidth="0" defaultRowHeight="14.25"/>
  <cols>
    <col min="1" max="1" width="7.75" style="54" bestFit="1" customWidth="1"/>
    <col min="2" max="2" width="19.25" style="54" bestFit="1" customWidth="1"/>
    <col min="3" max="3" width="10.875" style="54" bestFit="1" customWidth="1"/>
    <col min="4" max="4" width="10.75" style="54" bestFit="1" customWidth="1"/>
    <col min="5" max="5" width="16.5" style="54" bestFit="1" customWidth="1"/>
    <col min="6" max="6" width="15.5" style="54" bestFit="1" customWidth="1"/>
    <col min="7" max="7" width="14.125" style="54" hidden="1" customWidth="1"/>
    <col min="8" max="8" width="11.375" style="54" hidden="1" customWidth="1"/>
    <col min="9" max="9" width="2.125" style="62" bestFit="1" customWidth="1"/>
    <col min="10" max="10" width="4.875" style="63" bestFit="1" customWidth="1"/>
    <col min="11" max="16384" width="11.375" style="54" hidden="1"/>
  </cols>
  <sheetData>
    <row r="1" spans="1:10">
      <c r="A1" s="53"/>
    </row>
    <row r="2" spans="1:10">
      <c r="A2" s="53"/>
    </row>
    <row r="3" spans="1:10">
      <c r="A3" s="53"/>
    </row>
    <row r="4" spans="1:10">
      <c r="A4" s="53"/>
    </row>
    <row r="5" spans="1:10">
      <c r="A5" s="53"/>
    </row>
    <row r="6" spans="1:10" ht="15">
      <c r="A6" s="66" t="s">
        <v>0</v>
      </c>
      <c r="B6" s="67"/>
      <c r="C6" s="67"/>
      <c r="D6" s="67"/>
      <c r="E6" s="67"/>
      <c r="F6" s="67"/>
      <c r="G6" s="67"/>
      <c r="H6" s="67"/>
    </row>
    <row r="7" spans="1:10" ht="15">
      <c r="A7" s="68" t="s">
        <v>1</v>
      </c>
      <c r="B7" s="67"/>
      <c r="C7" s="67"/>
      <c r="D7" s="67"/>
      <c r="E7" s="67"/>
      <c r="F7" s="67"/>
      <c r="G7" s="67"/>
      <c r="H7" s="67"/>
    </row>
    <row r="8" spans="1:10" ht="15">
      <c r="A8" s="69" t="s">
        <v>2</v>
      </c>
      <c r="B8" s="67"/>
      <c r="C8" s="67"/>
      <c r="D8" s="67"/>
      <c r="E8" s="67"/>
      <c r="F8" s="67"/>
      <c r="G8" s="67"/>
      <c r="H8" s="67"/>
    </row>
    <row r="9" spans="1:10">
      <c r="A9" s="53"/>
    </row>
    <row r="10" spans="1:10" ht="15.75">
      <c r="A10" s="55" t="s">
        <v>3</v>
      </c>
      <c r="B10" s="56" t="s">
        <v>4</v>
      </c>
      <c r="C10" s="56" t="s">
        <v>5</v>
      </c>
      <c r="D10" s="56" t="s">
        <v>6</v>
      </c>
      <c r="E10" s="56" t="s">
        <v>7</v>
      </c>
      <c r="F10" s="56" t="s">
        <v>17</v>
      </c>
      <c r="I10" s="64" t="s">
        <v>3</v>
      </c>
      <c r="J10" s="64" t="s">
        <v>30</v>
      </c>
    </row>
    <row r="12" spans="1:10">
      <c r="A12"/>
      <c r="B12"/>
      <c r="C12"/>
      <c r="D12"/>
      <c r="E12"/>
      <c r="F12"/>
      <c r="I12" s="62" t="str">
        <f t="shared" ref="I12:I75" si="0">IF(B12="","",IF(B12="Total",I10,IF(B10="Total",I10, IF(ISNUMBER(A12),A12,I11))))</f>
        <v/>
      </c>
      <c r="J12" s="63" t="str">
        <f t="shared" ref="J12:J13" si="1">IF(B12="","",IF(B12="Total",J10,IF(B10="Total",J10,IF(A12="",J11,IF(ISNUMBER(A11),B11,IF(ISNUMBER(A12),B12,J11))))))</f>
        <v/>
      </c>
    </row>
    <row r="13" spans="1:10">
      <c r="A13"/>
      <c r="B13"/>
      <c r="C13"/>
      <c r="D13"/>
      <c r="E13"/>
      <c r="F13"/>
      <c r="I13" s="62" t="str">
        <f t="shared" si="0"/>
        <v/>
      </c>
      <c r="J13" s="63" t="str">
        <f t="shared" si="1"/>
        <v/>
      </c>
    </row>
    <row r="14" spans="1:10">
      <c r="A14"/>
      <c r="B14"/>
      <c r="C14"/>
      <c r="D14"/>
      <c r="E14"/>
      <c r="F14"/>
      <c r="I14" s="62" t="str">
        <f t="shared" si="0"/>
        <v/>
      </c>
      <c r="J14" s="63" t="str">
        <f>IF(B14="","",IF(B14="Total",J12,IF(B12="Total",J12,IF(A14="",J13,IF(ISNUMBER(A13),B13,IF(ISNUMBER(A14),B14,J13))))))</f>
        <v/>
      </c>
    </row>
    <row r="15" spans="1:10">
      <c r="A15"/>
      <c r="B15"/>
      <c r="C15"/>
      <c r="D15"/>
      <c r="E15"/>
      <c r="F15"/>
      <c r="I15" s="62" t="str">
        <f t="shared" si="0"/>
        <v/>
      </c>
      <c r="J15" s="63" t="str">
        <f t="shared" ref="J15:J78" si="2">IF(B15="","",IF(B15="Total",J13,IF(B13="Total",J13,IF(A15="",J14,IF(ISNUMBER(A14),B14,IF(ISNUMBER(A15),B15,J14))))))</f>
        <v/>
      </c>
    </row>
    <row r="16" spans="1:10">
      <c r="A16"/>
      <c r="B16"/>
      <c r="C16"/>
      <c r="D16"/>
      <c r="E16"/>
      <c r="F16"/>
      <c r="I16" s="62" t="str">
        <f t="shared" si="0"/>
        <v/>
      </c>
      <c r="J16" s="63" t="str">
        <f t="shared" si="2"/>
        <v/>
      </c>
    </row>
    <row r="17" spans="1:10">
      <c r="A17"/>
      <c r="B17"/>
      <c r="C17"/>
      <c r="D17"/>
      <c r="E17"/>
      <c r="F17"/>
      <c r="I17" s="62" t="str">
        <f t="shared" si="0"/>
        <v/>
      </c>
      <c r="J17" s="63" t="str">
        <f t="shared" si="2"/>
        <v/>
      </c>
    </row>
    <row r="18" spans="1:10">
      <c r="A18"/>
      <c r="B18"/>
      <c r="C18"/>
      <c r="D18"/>
      <c r="E18"/>
      <c r="F18"/>
      <c r="I18" s="62" t="str">
        <f t="shared" si="0"/>
        <v/>
      </c>
      <c r="J18" s="63" t="str">
        <f t="shared" si="2"/>
        <v/>
      </c>
    </row>
    <row r="19" spans="1:10">
      <c r="A19"/>
      <c r="B19"/>
      <c r="C19"/>
      <c r="D19"/>
      <c r="E19"/>
      <c r="F19"/>
      <c r="I19" s="62" t="str">
        <f t="shared" si="0"/>
        <v/>
      </c>
      <c r="J19" s="63" t="str">
        <f t="shared" si="2"/>
        <v/>
      </c>
    </row>
    <row r="20" spans="1:10">
      <c r="A20"/>
      <c r="B20"/>
      <c r="C20"/>
      <c r="D20"/>
      <c r="E20"/>
      <c r="F20"/>
      <c r="I20" s="62" t="str">
        <f t="shared" si="0"/>
        <v/>
      </c>
      <c r="J20" s="63" t="str">
        <f t="shared" si="2"/>
        <v/>
      </c>
    </row>
    <row r="21" spans="1:10">
      <c r="A21"/>
      <c r="B21"/>
      <c r="C21"/>
      <c r="D21"/>
      <c r="E21"/>
      <c r="F21"/>
      <c r="I21" s="62" t="str">
        <f t="shared" si="0"/>
        <v/>
      </c>
      <c r="J21" s="63" t="str">
        <f t="shared" si="2"/>
        <v/>
      </c>
    </row>
    <row r="22" spans="1:10">
      <c r="A22"/>
      <c r="B22"/>
      <c r="C22"/>
      <c r="D22"/>
      <c r="E22"/>
      <c r="F22"/>
      <c r="I22" s="62" t="str">
        <f t="shared" si="0"/>
        <v/>
      </c>
      <c r="J22" s="63" t="str">
        <f t="shared" si="2"/>
        <v/>
      </c>
    </row>
    <row r="23" spans="1:10">
      <c r="A23"/>
      <c r="B23"/>
      <c r="C23"/>
      <c r="D23"/>
      <c r="E23"/>
      <c r="F23"/>
      <c r="I23" s="62" t="str">
        <f t="shared" si="0"/>
        <v/>
      </c>
      <c r="J23" s="63" t="str">
        <f t="shared" si="2"/>
        <v/>
      </c>
    </row>
    <row r="24" spans="1:10">
      <c r="A24"/>
      <c r="B24"/>
      <c r="C24"/>
      <c r="D24"/>
      <c r="E24"/>
      <c r="F24"/>
      <c r="I24" s="62" t="str">
        <f t="shared" si="0"/>
        <v/>
      </c>
      <c r="J24" s="63" t="str">
        <f t="shared" si="2"/>
        <v/>
      </c>
    </row>
    <row r="25" spans="1:10">
      <c r="A25"/>
      <c r="B25"/>
      <c r="C25"/>
      <c r="D25"/>
      <c r="E25"/>
      <c r="F25"/>
      <c r="I25" s="62" t="str">
        <f t="shared" si="0"/>
        <v/>
      </c>
      <c r="J25" s="63" t="str">
        <f t="shared" si="2"/>
        <v/>
      </c>
    </row>
    <row r="26" spans="1:10">
      <c r="A26"/>
      <c r="B26"/>
      <c r="C26"/>
      <c r="D26"/>
      <c r="E26"/>
      <c r="F26"/>
      <c r="I26" s="62" t="str">
        <f t="shared" si="0"/>
        <v/>
      </c>
      <c r="J26" s="63" t="str">
        <f t="shared" si="2"/>
        <v/>
      </c>
    </row>
    <row r="27" spans="1:10">
      <c r="A27"/>
      <c r="B27"/>
      <c r="C27"/>
      <c r="D27"/>
      <c r="E27"/>
      <c r="F27"/>
      <c r="I27" s="62" t="str">
        <f t="shared" si="0"/>
        <v/>
      </c>
      <c r="J27" s="63" t="str">
        <f t="shared" si="2"/>
        <v/>
      </c>
    </row>
    <row r="28" spans="1:10">
      <c r="A28"/>
      <c r="B28"/>
      <c r="C28"/>
      <c r="D28"/>
      <c r="E28"/>
      <c r="F28"/>
      <c r="I28" s="62" t="str">
        <f t="shared" si="0"/>
        <v/>
      </c>
      <c r="J28" s="63" t="str">
        <f t="shared" si="2"/>
        <v/>
      </c>
    </row>
    <row r="29" spans="1:10">
      <c r="A29"/>
      <c r="B29"/>
      <c r="C29"/>
      <c r="D29"/>
      <c r="E29"/>
      <c r="F29"/>
      <c r="I29" s="62" t="str">
        <f t="shared" si="0"/>
        <v/>
      </c>
      <c r="J29" s="63" t="str">
        <f t="shared" si="2"/>
        <v/>
      </c>
    </row>
    <row r="30" spans="1:10">
      <c r="A30"/>
      <c r="B30"/>
      <c r="C30"/>
      <c r="D30"/>
      <c r="E30"/>
      <c r="F30"/>
      <c r="I30" s="62" t="str">
        <f t="shared" si="0"/>
        <v/>
      </c>
      <c r="J30" s="63" t="str">
        <f t="shared" si="2"/>
        <v/>
      </c>
    </row>
    <row r="31" spans="1:10">
      <c r="A31"/>
      <c r="B31"/>
      <c r="C31"/>
      <c r="D31"/>
      <c r="E31"/>
      <c r="F31"/>
      <c r="I31" s="62" t="str">
        <f t="shared" si="0"/>
        <v/>
      </c>
      <c r="J31" s="63" t="str">
        <f t="shared" si="2"/>
        <v/>
      </c>
    </row>
    <row r="32" spans="1:10">
      <c r="A32"/>
      <c r="B32"/>
      <c r="C32"/>
      <c r="D32"/>
      <c r="E32"/>
      <c r="F32"/>
      <c r="I32" s="62" t="str">
        <f t="shared" si="0"/>
        <v/>
      </c>
      <c r="J32" s="63" t="str">
        <f t="shared" si="2"/>
        <v/>
      </c>
    </row>
    <row r="33" spans="1:10">
      <c r="A33"/>
      <c r="B33"/>
      <c r="C33"/>
      <c r="D33"/>
      <c r="E33"/>
      <c r="F33"/>
      <c r="I33" s="62" t="str">
        <f t="shared" si="0"/>
        <v/>
      </c>
      <c r="J33" s="63" t="str">
        <f t="shared" si="2"/>
        <v/>
      </c>
    </row>
    <row r="34" spans="1:10">
      <c r="A34"/>
      <c r="B34"/>
      <c r="C34"/>
      <c r="D34"/>
      <c r="E34"/>
      <c r="F34"/>
      <c r="I34" s="62" t="str">
        <f t="shared" si="0"/>
        <v/>
      </c>
      <c r="J34" s="63" t="str">
        <f t="shared" si="2"/>
        <v/>
      </c>
    </row>
    <row r="35" spans="1:10">
      <c r="A35"/>
      <c r="B35"/>
      <c r="C35"/>
      <c r="D35"/>
      <c r="E35"/>
      <c r="F35"/>
      <c r="I35" s="62" t="str">
        <f t="shared" si="0"/>
        <v/>
      </c>
      <c r="J35" s="63" t="str">
        <f t="shared" si="2"/>
        <v/>
      </c>
    </row>
    <row r="36" spans="1:10">
      <c r="A36"/>
      <c r="B36"/>
      <c r="C36"/>
      <c r="D36"/>
      <c r="E36"/>
      <c r="F36"/>
      <c r="I36" s="62" t="str">
        <f t="shared" si="0"/>
        <v/>
      </c>
      <c r="J36" s="63" t="str">
        <f t="shared" si="2"/>
        <v/>
      </c>
    </row>
    <row r="37" spans="1:10">
      <c r="A37"/>
      <c r="B37"/>
      <c r="C37"/>
      <c r="D37"/>
      <c r="E37"/>
      <c r="F37"/>
      <c r="I37" s="62" t="str">
        <f t="shared" si="0"/>
        <v/>
      </c>
      <c r="J37" s="63" t="str">
        <f t="shared" si="2"/>
        <v/>
      </c>
    </row>
    <row r="38" spans="1:10">
      <c r="A38"/>
      <c r="B38"/>
      <c r="C38"/>
      <c r="D38"/>
      <c r="E38"/>
      <c r="F38"/>
      <c r="I38" s="62" t="str">
        <f t="shared" si="0"/>
        <v/>
      </c>
      <c r="J38" s="63" t="str">
        <f t="shared" si="2"/>
        <v/>
      </c>
    </row>
    <row r="39" spans="1:10">
      <c r="A39"/>
      <c r="B39"/>
      <c r="C39"/>
      <c r="D39"/>
      <c r="E39"/>
      <c r="F39"/>
      <c r="I39" s="62" t="str">
        <f t="shared" si="0"/>
        <v/>
      </c>
      <c r="J39" s="63" t="str">
        <f t="shared" si="2"/>
        <v/>
      </c>
    </row>
    <row r="40" spans="1:10">
      <c r="A40"/>
      <c r="B40"/>
      <c r="C40"/>
      <c r="D40"/>
      <c r="E40"/>
      <c r="F40"/>
      <c r="I40" s="62" t="str">
        <f t="shared" si="0"/>
        <v/>
      </c>
      <c r="J40" s="63" t="str">
        <f t="shared" si="2"/>
        <v/>
      </c>
    </row>
    <row r="41" spans="1:10">
      <c r="A41"/>
      <c r="B41"/>
      <c r="C41"/>
      <c r="D41"/>
      <c r="E41"/>
      <c r="F41"/>
      <c r="I41" s="62" t="str">
        <f t="shared" si="0"/>
        <v/>
      </c>
      <c r="J41" s="63" t="str">
        <f t="shared" si="2"/>
        <v/>
      </c>
    </row>
    <row r="42" spans="1:10">
      <c r="I42" s="62" t="str">
        <f t="shared" si="0"/>
        <v/>
      </c>
      <c r="J42" s="63" t="str">
        <f t="shared" si="2"/>
        <v/>
      </c>
    </row>
    <row r="43" spans="1:10">
      <c r="I43" s="62" t="str">
        <f t="shared" si="0"/>
        <v/>
      </c>
      <c r="J43" s="63" t="str">
        <f t="shared" si="2"/>
        <v/>
      </c>
    </row>
    <row r="44" spans="1:10">
      <c r="I44" s="62" t="str">
        <f t="shared" si="0"/>
        <v/>
      </c>
      <c r="J44" s="63" t="str">
        <f t="shared" si="2"/>
        <v/>
      </c>
    </row>
    <row r="45" spans="1:10">
      <c r="I45" s="62" t="str">
        <f t="shared" si="0"/>
        <v/>
      </c>
      <c r="J45" s="63" t="str">
        <f t="shared" si="2"/>
        <v/>
      </c>
    </row>
    <row r="46" spans="1:10">
      <c r="I46" s="62" t="str">
        <f t="shared" si="0"/>
        <v/>
      </c>
      <c r="J46" s="63" t="str">
        <f t="shared" si="2"/>
        <v/>
      </c>
    </row>
    <row r="47" spans="1:10">
      <c r="I47" s="62" t="str">
        <f t="shared" si="0"/>
        <v/>
      </c>
      <c r="J47" s="63" t="str">
        <f t="shared" si="2"/>
        <v/>
      </c>
    </row>
    <row r="48" spans="1:10">
      <c r="I48" s="62" t="str">
        <f t="shared" si="0"/>
        <v/>
      </c>
      <c r="J48" s="63" t="str">
        <f t="shared" si="2"/>
        <v/>
      </c>
    </row>
    <row r="49" spans="9:10">
      <c r="I49" s="62" t="str">
        <f t="shared" si="0"/>
        <v/>
      </c>
      <c r="J49" s="63" t="str">
        <f t="shared" si="2"/>
        <v/>
      </c>
    </row>
    <row r="50" spans="9:10">
      <c r="I50" s="62" t="str">
        <f t="shared" si="0"/>
        <v/>
      </c>
      <c r="J50" s="63" t="str">
        <f t="shared" si="2"/>
        <v/>
      </c>
    </row>
    <row r="51" spans="9:10">
      <c r="I51" s="62" t="str">
        <f t="shared" si="0"/>
        <v/>
      </c>
      <c r="J51" s="63" t="str">
        <f t="shared" si="2"/>
        <v/>
      </c>
    </row>
    <row r="52" spans="9:10">
      <c r="I52" s="62" t="str">
        <f t="shared" si="0"/>
        <v/>
      </c>
      <c r="J52" s="63" t="str">
        <f t="shared" si="2"/>
        <v/>
      </c>
    </row>
    <row r="53" spans="9:10">
      <c r="I53" s="62" t="str">
        <f t="shared" si="0"/>
        <v/>
      </c>
      <c r="J53" s="63" t="str">
        <f t="shared" si="2"/>
        <v/>
      </c>
    </row>
    <row r="54" spans="9:10">
      <c r="I54" s="62" t="str">
        <f t="shared" si="0"/>
        <v/>
      </c>
      <c r="J54" s="63" t="str">
        <f t="shared" si="2"/>
        <v/>
      </c>
    </row>
    <row r="55" spans="9:10">
      <c r="I55" s="62" t="str">
        <f t="shared" si="0"/>
        <v/>
      </c>
      <c r="J55" s="63" t="str">
        <f t="shared" si="2"/>
        <v/>
      </c>
    </row>
    <row r="56" spans="9:10">
      <c r="I56" s="62" t="str">
        <f t="shared" si="0"/>
        <v/>
      </c>
      <c r="J56" s="63" t="str">
        <f t="shared" si="2"/>
        <v/>
      </c>
    </row>
    <row r="57" spans="9:10">
      <c r="I57" s="62" t="str">
        <f t="shared" si="0"/>
        <v/>
      </c>
      <c r="J57" s="63" t="str">
        <f t="shared" si="2"/>
        <v/>
      </c>
    </row>
    <row r="58" spans="9:10">
      <c r="I58" s="62" t="str">
        <f t="shared" si="0"/>
        <v/>
      </c>
      <c r="J58" s="63" t="str">
        <f t="shared" si="2"/>
        <v/>
      </c>
    </row>
    <row r="59" spans="9:10">
      <c r="I59" s="62" t="str">
        <f t="shared" si="0"/>
        <v/>
      </c>
      <c r="J59" s="63" t="str">
        <f t="shared" si="2"/>
        <v/>
      </c>
    </row>
    <row r="60" spans="9:10">
      <c r="I60" s="62" t="str">
        <f t="shared" si="0"/>
        <v/>
      </c>
      <c r="J60" s="63" t="str">
        <f t="shared" si="2"/>
        <v/>
      </c>
    </row>
    <row r="61" spans="9:10">
      <c r="I61" s="62" t="str">
        <f t="shared" si="0"/>
        <v/>
      </c>
      <c r="J61" s="63" t="str">
        <f t="shared" si="2"/>
        <v/>
      </c>
    </row>
    <row r="62" spans="9:10">
      <c r="I62" s="62" t="str">
        <f t="shared" si="0"/>
        <v/>
      </c>
      <c r="J62" s="63" t="str">
        <f t="shared" si="2"/>
        <v/>
      </c>
    </row>
    <row r="63" spans="9:10">
      <c r="I63" s="62" t="str">
        <f t="shared" si="0"/>
        <v/>
      </c>
      <c r="J63" s="63" t="str">
        <f t="shared" si="2"/>
        <v/>
      </c>
    </row>
    <row r="64" spans="9:10">
      <c r="I64" s="62" t="str">
        <f t="shared" si="0"/>
        <v/>
      </c>
      <c r="J64" s="63" t="str">
        <f t="shared" si="2"/>
        <v/>
      </c>
    </row>
    <row r="65" spans="9:10">
      <c r="I65" s="62" t="str">
        <f t="shared" si="0"/>
        <v/>
      </c>
      <c r="J65" s="63" t="str">
        <f t="shared" si="2"/>
        <v/>
      </c>
    </row>
    <row r="66" spans="9:10">
      <c r="I66" s="62" t="str">
        <f t="shared" si="0"/>
        <v/>
      </c>
      <c r="J66" s="63" t="str">
        <f t="shared" si="2"/>
        <v/>
      </c>
    </row>
    <row r="67" spans="9:10">
      <c r="I67" s="62" t="str">
        <f t="shared" si="0"/>
        <v/>
      </c>
      <c r="J67" s="63" t="str">
        <f t="shared" si="2"/>
        <v/>
      </c>
    </row>
    <row r="68" spans="9:10">
      <c r="I68" s="62" t="str">
        <f t="shared" si="0"/>
        <v/>
      </c>
      <c r="J68" s="63" t="str">
        <f t="shared" si="2"/>
        <v/>
      </c>
    </row>
    <row r="69" spans="9:10">
      <c r="I69" s="62" t="str">
        <f t="shared" si="0"/>
        <v/>
      </c>
      <c r="J69" s="63" t="str">
        <f t="shared" si="2"/>
        <v/>
      </c>
    </row>
    <row r="70" spans="9:10">
      <c r="I70" s="62" t="str">
        <f t="shared" si="0"/>
        <v/>
      </c>
      <c r="J70" s="63" t="str">
        <f t="shared" si="2"/>
        <v/>
      </c>
    </row>
    <row r="71" spans="9:10">
      <c r="I71" s="62" t="str">
        <f t="shared" si="0"/>
        <v/>
      </c>
      <c r="J71" s="63" t="str">
        <f t="shared" si="2"/>
        <v/>
      </c>
    </row>
    <row r="72" spans="9:10">
      <c r="I72" s="62" t="str">
        <f t="shared" si="0"/>
        <v/>
      </c>
      <c r="J72" s="63" t="str">
        <f t="shared" si="2"/>
        <v/>
      </c>
    </row>
    <row r="73" spans="9:10">
      <c r="I73" s="62" t="str">
        <f t="shared" si="0"/>
        <v/>
      </c>
      <c r="J73" s="63" t="str">
        <f t="shared" si="2"/>
        <v/>
      </c>
    </row>
    <row r="74" spans="9:10">
      <c r="I74" s="62" t="str">
        <f t="shared" si="0"/>
        <v/>
      </c>
      <c r="J74" s="63" t="str">
        <f t="shared" si="2"/>
        <v/>
      </c>
    </row>
    <row r="75" spans="9:10">
      <c r="I75" s="62" t="str">
        <f t="shared" si="0"/>
        <v/>
      </c>
      <c r="J75" s="63" t="str">
        <f t="shared" si="2"/>
        <v/>
      </c>
    </row>
    <row r="76" spans="9:10">
      <c r="I76" s="62" t="str">
        <f t="shared" ref="I76:I139" si="3">IF(B76="","",IF(B76="Total",I74,IF(B74="Total",I74, IF(ISNUMBER(A76),A76,I75))))</f>
        <v/>
      </c>
      <c r="J76" s="63" t="str">
        <f t="shared" si="2"/>
        <v/>
      </c>
    </row>
    <row r="77" spans="9:10">
      <c r="I77" s="62" t="str">
        <f t="shared" si="3"/>
        <v/>
      </c>
      <c r="J77" s="63" t="str">
        <f t="shared" si="2"/>
        <v/>
      </c>
    </row>
    <row r="78" spans="9:10">
      <c r="I78" s="62" t="str">
        <f t="shared" si="3"/>
        <v/>
      </c>
      <c r="J78" s="63" t="str">
        <f t="shared" si="2"/>
        <v/>
      </c>
    </row>
    <row r="79" spans="9:10">
      <c r="I79" s="62" t="str">
        <f t="shared" si="3"/>
        <v/>
      </c>
      <c r="J79" s="63" t="str">
        <f t="shared" ref="J79:J142" si="4">IF(B79="","",IF(B79="Total",J77,IF(B77="Total",J77,IF(A79="",J78,IF(ISNUMBER(A78),B78,IF(ISNUMBER(A79),B79,J78))))))</f>
        <v/>
      </c>
    </row>
    <row r="80" spans="9:10">
      <c r="I80" s="62" t="str">
        <f t="shared" si="3"/>
        <v/>
      </c>
      <c r="J80" s="63" t="str">
        <f t="shared" si="4"/>
        <v/>
      </c>
    </row>
    <row r="81" spans="1:10">
      <c r="I81" s="62" t="str">
        <f t="shared" si="3"/>
        <v/>
      </c>
      <c r="J81" s="63" t="str">
        <f t="shared" si="4"/>
        <v/>
      </c>
    </row>
    <row r="82" spans="1:10">
      <c r="I82" s="62" t="str">
        <f t="shared" si="3"/>
        <v/>
      </c>
      <c r="J82" s="63" t="str">
        <f t="shared" si="4"/>
        <v/>
      </c>
    </row>
    <row r="83" spans="1:10">
      <c r="I83" s="62" t="str">
        <f t="shared" si="3"/>
        <v/>
      </c>
      <c r="J83" s="63" t="str">
        <f t="shared" si="4"/>
        <v/>
      </c>
    </row>
    <row r="84" spans="1:10">
      <c r="I84" s="62" t="str">
        <f t="shared" si="3"/>
        <v/>
      </c>
      <c r="J84" s="63" t="str">
        <f t="shared" si="4"/>
        <v/>
      </c>
    </row>
    <row r="85" spans="1:10">
      <c r="I85" s="62" t="str">
        <f t="shared" si="3"/>
        <v/>
      </c>
      <c r="J85" s="63" t="str">
        <f t="shared" si="4"/>
        <v/>
      </c>
    </row>
    <row r="86" spans="1:10">
      <c r="I86" s="62" t="str">
        <f t="shared" si="3"/>
        <v/>
      </c>
      <c r="J86" s="63" t="str">
        <f t="shared" si="4"/>
        <v/>
      </c>
    </row>
    <row r="87" spans="1:10">
      <c r="I87" s="62" t="str">
        <f t="shared" si="3"/>
        <v/>
      </c>
      <c r="J87" s="63" t="str">
        <f t="shared" si="4"/>
        <v/>
      </c>
    </row>
    <row r="88" spans="1:10">
      <c r="I88" s="62" t="str">
        <f t="shared" si="3"/>
        <v/>
      </c>
      <c r="J88" s="63" t="str">
        <f t="shared" si="4"/>
        <v/>
      </c>
    </row>
    <row r="89" spans="1:10">
      <c r="I89" s="62" t="str">
        <f t="shared" si="3"/>
        <v/>
      </c>
      <c r="J89" s="63" t="str">
        <f t="shared" si="4"/>
        <v/>
      </c>
    </row>
    <row r="90" spans="1:10">
      <c r="I90" s="62" t="str">
        <f t="shared" si="3"/>
        <v/>
      </c>
      <c r="J90" s="63" t="str">
        <f t="shared" si="4"/>
        <v/>
      </c>
    </row>
    <row r="91" spans="1:10">
      <c r="I91" s="62" t="str">
        <f t="shared" si="3"/>
        <v/>
      </c>
      <c r="J91" s="63" t="str">
        <f t="shared" si="4"/>
        <v/>
      </c>
    </row>
    <row r="92" spans="1:10">
      <c r="A92" s="57"/>
      <c r="B92" s="58"/>
      <c r="I92" s="62" t="str">
        <f t="shared" si="3"/>
        <v/>
      </c>
      <c r="J92" s="63" t="str">
        <f t="shared" si="4"/>
        <v/>
      </c>
    </row>
    <row r="93" spans="1:10" ht="15">
      <c r="A93" s="59"/>
      <c r="B93" s="58"/>
      <c r="I93" s="62" t="str">
        <f t="shared" si="3"/>
        <v/>
      </c>
      <c r="J93" s="63" t="str">
        <f t="shared" si="4"/>
        <v/>
      </c>
    </row>
    <row r="94" spans="1:10">
      <c r="A94" s="60"/>
      <c r="B94" s="58"/>
      <c r="I94" s="62" t="str">
        <f t="shared" si="3"/>
        <v/>
      </c>
      <c r="J94" s="63" t="str">
        <f t="shared" si="4"/>
        <v/>
      </c>
    </row>
    <row r="95" spans="1:10">
      <c r="A95" s="60"/>
      <c r="B95" s="58"/>
      <c r="I95" s="62" t="str">
        <f t="shared" si="3"/>
        <v/>
      </c>
      <c r="J95" s="63" t="str">
        <f t="shared" si="4"/>
        <v/>
      </c>
    </row>
    <row r="96" spans="1:10">
      <c r="A96" s="60"/>
      <c r="B96" s="58"/>
      <c r="I96" s="62" t="str">
        <f t="shared" si="3"/>
        <v/>
      </c>
      <c r="J96" s="63" t="str">
        <f t="shared" si="4"/>
        <v/>
      </c>
    </row>
    <row r="97" spans="1:10">
      <c r="A97" s="60"/>
      <c r="B97" s="58"/>
      <c r="I97" s="62" t="str">
        <f t="shared" si="3"/>
        <v/>
      </c>
      <c r="J97" s="63" t="str">
        <f t="shared" si="4"/>
        <v/>
      </c>
    </row>
    <row r="98" spans="1:10">
      <c r="A98" s="60"/>
      <c r="B98" s="58"/>
      <c r="I98" s="62" t="str">
        <f t="shared" si="3"/>
        <v/>
      </c>
      <c r="J98" s="63" t="str">
        <f t="shared" si="4"/>
        <v/>
      </c>
    </row>
    <row r="99" spans="1:10">
      <c r="A99" s="60"/>
      <c r="B99" s="58"/>
      <c r="I99" s="62" t="str">
        <f t="shared" si="3"/>
        <v/>
      </c>
      <c r="J99" s="63" t="str">
        <f t="shared" si="4"/>
        <v/>
      </c>
    </row>
    <row r="100" spans="1:10">
      <c r="A100" s="60"/>
      <c r="B100" s="58"/>
      <c r="I100" s="62" t="str">
        <f t="shared" si="3"/>
        <v/>
      </c>
      <c r="J100" s="63" t="str">
        <f t="shared" si="4"/>
        <v/>
      </c>
    </row>
    <row r="101" spans="1:10">
      <c r="A101" s="60"/>
      <c r="B101" s="58"/>
      <c r="I101" s="62" t="str">
        <f t="shared" si="3"/>
        <v/>
      </c>
      <c r="J101" s="63" t="str">
        <f t="shared" si="4"/>
        <v/>
      </c>
    </row>
    <row r="102" spans="1:10">
      <c r="A102" s="60"/>
      <c r="B102" s="58"/>
      <c r="I102" s="62" t="str">
        <f t="shared" si="3"/>
        <v/>
      </c>
      <c r="J102" s="63" t="str">
        <f t="shared" si="4"/>
        <v/>
      </c>
    </row>
    <row r="103" spans="1:10">
      <c r="A103" s="60"/>
      <c r="B103" s="58"/>
      <c r="I103" s="62" t="str">
        <f t="shared" si="3"/>
        <v/>
      </c>
      <c r="J103" s="63" t="str">
        <f t="shared" si="4"/>
        <v/>
      </c>
    </row>
    <row r="104" spans="1:10">
      <c r="A104" s="53"/>
      <c r="I104" s="62" t="str">
        <f t="shared" si="3"/>
        <v/>
      </c>
      <c r="J104" s="63" t="str">
        <f t="shared" si="4"/>
        <v/>
      </c>
    </row>
    <row r="105" spans="1:10" ht="15.75">
      <c r="A105" s="53"/>
      <c r="B105" s="61"/>
      <c r="I105" s="62" t="str">
        <f t="shared" si="3"/>
        <v/>
      </c>
      <c r="J105" s="63" t="str">
        <f t="shared" si="4"/>
        <v/>
      </c>
    </row>
    <row r="106" spans="1:10">
      <c r="I106" s="62" t="str">
        <f t="shared" si="3"/>
        <v/>
      </c>
      <c r="J106" s="63" t="str">
        <f t="shared" si="4"/>
        <v/>
      </c>
    </row>
    <row r="107" spans="1:10">
      <c r="I107" s="62" t="str">
        <f t="shared" si="3"/>
        <v/>
      </c>
      <c r="J107" s="63" t="str">
        <f t="shared" si="4"/>
        <v/>
      </c>
    </row>
    <row r="108" spans="1:10">
      <c r="A108" s="57"/>
      <c r="B108" s="58"/>
      <c r="I108" s="62" t="str">
        <f t="shared" si="3"/>
        <v/>
      </c>
      <c r="J108" s="63" t="str">
        <f t="shared" si="4"/>
        <v/>
      </c>
    </row>
    <row r="109" spans="1:10" ht="15">
      <c r="A109" s="59"/>
      <c r="B109" s="58"/>
      <c r="I109" s="62" t="str">
        <f t="shared" si="3"/>
        <v/>
      </c>
      <c r="J109" s="63" t="str">
        <f t="shared" si="4"/>
        <v/>
      </c>
    </row>
    <row r="110" spans="1:10">
      <c r="A110" s="60"/>
      <c r="B110" s="58"/>
      <c r="I110" s="62" t="str">
        <f t="shared" si="3"/>
        <v/>
      </c>
      <c r="J110" s="63" t="str">
        <f t="shared" si="4"/>
        <v/>
      </c>
    </row>
    <row r="111" spans="1:10">
      <c r="A111" s="60"/>
      <c r="B111" s="58"/>
      <c r="I111" s="62" t="str">
        <f t="shared" si="3"/>
        <v/>
      </c>
      <c r="J111" s="63" t="str">
        <f t="shared" si="4"/>
        <v/>
      </c>
    </row>
    <row r="112" spans="1:10">
      <c r="A112" s="60"/>
      <c r="B112" s="58"/>
      <c r="I112" s="62" t="str">
        <f t="shared" si="3"/>
        <v/>
      </c>
      <c r="J112" s="63" t="str">
        <f t="shared" si="4"/>
        <v/>
      </c>
    </row>
    <row r="113" spans="1:10">
      <c r="A113" s="60"/>
      <c r="B113" s="58"/>
      <c r="I113" s="62" t="str">
        <f t="shared" si="3"/>
        <v/>
      </c>
      <c r="J113" s="63" t="str">
        <f t="shared" si="4"/>
        <v/>
      </c>
    </row>
    <row r="114" spans="1:10">
      <c r="A114" s="60"/>
      <c r="B114" s="58"/>
      <c r="I114" s="62" t="str">
        <f t="shared" si="3"/>
        <v/>
      </c>
      <c r="J114" s="63" t="str">
        <f t="shared" si="4"/>
        <v/>
      </c>
    </row>
    <row r="115" spans="1:10">
      <c r="A115" s="60"/>
      <c r="B115" s="58"/>
      <c r="I115" s="62" t="str">
        <f t="shared" si="3"/>
        <v/>
      </c>
      <c r="J115" s="63" t="str">
        <f t="shared" si="4"/>
        <v/>
      </c>
    </row>
    <row r="116" spans="1:10">
      <c r="A116" s="60"/>
      <c r="B116" s="58"/>
      <c r="I116" s="62" t="str">
        <f t="shared" si="3"/>
        <v/>
      </c>
      <c r="J116" s="63" t="str">
        <f t="shared" si="4"/>
        <v/>
      </c>
    </row>
    <row r="117" spans="1:10">
      <c r="A117" s="60"/>
      <c r="B117" s="58"/>
      <c r="I117" s="62" t="str">
        <f t="shared" si="3"/>
        <v/>
      </c>
      <c r="J117" s="63" t="str">
        <f t="shared" si="4"/>
        <v/>
      </c>
    </row>
    <row r="118" spans="1:10">
      <c r="A118" s="60"/>
      <c r="B118" s="58"/>
      <c r="I118" s="62" t="str">
        <f t="shared" si="3"/>
        <v/>
      </c>
      <c r="J118" s="63" t="str">
        <f t="shared" si="4"/>
        <v/>
      </c>
    </row>
    <row r="119" spans="1:10">
      <c r="A119" s="60"/>
      <c r="B119" s="58"/>
      <c r="I119" s="62" t="str">
        <f t="shared" si="3"/>
        <v/>
      </c>
      <c r="J119" s="63" t="str">
        <f t="shared" si="4"/>
        <v/>
      </c>
    </row>
    <row r="120" spans="1:10">
      <c r="A120" s="53"/>
      <c r="I120" s="62" t="str">
        <f t="shared" si="3"/>
        <v/>
      </c>
      <c r="J120" s="63" t="str">
        <f t="shared" si="4"/>
        <v/>
      </c>
    </row>
    <row r="121" spans="1:10" ht="15.75">
      <c r="A121" s="53"/>
      <c r="B121" s="61"/>
      <c r="I121" s="62" t="str">
        <f t="shared" si="3"/>
        <v/>
      </c>
      <c r="J121" s="63" t="str">
        <f t="shared" si="4"/>
        <v/>
      </c>
    </row>
    <row r="122" spans="1:10">
      <c r="I122" s="62" t="str">
        <f t="shared" si="3"/>
        <v/>
      </c>
      <c r="J122" s="63" t="str">
        <f t="shared" si="4"/>
        <v/>
      </c>
    </row>
    <row r="123" spans="1:10">
      <c r="I123" s="62" t="str">
        <f t="shared" si="3"/>
        <v/>
      </c>
      <c r="J123" s="63" t="str">
        <f t="shared" si="4"/>
        <v/>
      </c>
    </row>
    <row r="124" spans="1:10">
      <c r="A124" s="57"/>
      <c r="B124" s="58"/>
      <c r="I124" s="62" t="str">
        <f t="shared" si="3"/>
        <v/>
      </c>
      <c r="J124" s="63" t="str">
        <f t="shared" si="4"/>
        <v/>
      </c>
    </row>
    <row r="125" spans="1:10" ht="15">
      <c r="A125" s="59"/>
      <c r="B125" s="58"/>
      <c r="I125" s="62" t="str">
        <f t="shared" si="3"/>
        <v/>
      </c>
      <c r="J125" s="63" t="str">
        <f t="shared" si="4"/>
        <v/>
      </c>
    </row>
    <row r="126" spans="1:10">
      <c r="A126" s="60"/>
      <c r="B126" s="58"/>
      <c r="I126" s="62" t="str">
        <f t="shared" si="3"/>
        <v/>
      </c>
      <c r="J126" s="63" t="str">
        <f t="shared" si="4"/>
        <v/>
      </c>
    </row>
    <row r="127" spans="1:10">
      <c r="A127" s="60"/>
      <c r="B127" s="58"/>
      <c r="I127" s="62" t="str">
        <f t="shared" si="3"/>
        <v/>
      </c>
      <c r="J127" s="63" t="str">
        <f t="shared" si="4"/>
        <v/>
      </c>
    </row>
    <row r="128" spans="1:10">
      <c r="A128" s="60"/>
      <c r="B128" s="58"/>
      <c r="I128" s="62" t="str">
        <f t="shared" si="3"/>
        <v/>
      </c>
      <c r="J128" s="63" t="str">
        <f t="shared" si="4"/>
        <v/>
      </c>
    </row>
    <row r="129" spans="1:10">
      <c r="A129" s="60"/>
      <c r="B129" s="58"/>
      <c r="I129" s="62" t="str">
        <f t="shared" si="3"/>
        <v/>
      </c>
      <c r="J129" s="63" t="str">
        <f t="shared" si="4"/>
        <v/>
      </c>
    </row>
    <row r="130" spans="1:10">
      <c r="A130" s="60"/>
      <c r="B130" s="58"/>
      <c r="I130" s="62" t="str">
        <f t="shared" si="3"/>
        <v/>
      </c>
      <c r="J130" s="63" t="str">
        <f t="shared" si="4"/>
        <v/>
      </c>
    </row>
    <row r="131" spans="1:10">
      <c r="A131" s="60"/>
      <c r="B131" s="58"/>
      <c r="I131" s="62" t="str">
        <f t="shared" si="3"/>
        <v/>
      </c>
      <c r="J131" s="63" t="str">
        <f t="shared" si="4"/>
        <v/>
      </c>
    </row>
    <row r="132" spans="1:10">
      <c r="A132" s="60"/>
      <c r="B132" s="58"/>
      <c r="I132" s="62" t="str">
        <f t="shared" si="3"/>
        <v/>
      </c>
      <c r="J132" s="63" t="str">
        <f t="shared" si="4"/>
        <v/>
      </c>
    </row>
    <row r="133" spans="1:10">
      <c r="A133" s="60"/>
      <c r="B133" s="58"/>
      <c r="I133" s="62" t="str">
        <f t="shared" si="3"/>
        <v/>
      </c>
      <c r="J133" s="63" t="str">
        <f t="shared" si="4"/>
        <v/>
      </c>
    </row>
    <row r="134" spans="1:10">
      <c r="A134" s="60"/>
      <c r="B134" s="58"/>
      <c r="I134" s="62" t="str">
        <f t="shared" si="3"/>
        <v/>
      </c>
      <c r="J134" s="63" t="str">
        <f t="shared" si="4"/>
        <v/>
      </c>
    </row>
    <row r="135" spans="1:10">
      <c r="A135" s="60"/>
      <c r="B135" s="58"/>
      <c r="I135" s="62" t="str">
        <f t="shared" si="3"/>
        <v/>
      </c>
      <c r="J135" s="63" t="str">
        <f t="shared" si="4"/>
        <v/>
      </c>
    </row>
    <row r="136" spans="1:10">
      <c r="A136" s="53"/>
      <c r="I136" s="62" t="str">
        <f t="shared" si="3"/>
        <v/>
      </c>
      <c r="J136" s="63" t="str">
        <f t="shared" si="4"/>
        <v/>
      </c>
    </row>
    <row r="137" spans="1:10" ht="15.75">
      <c r="A137" s="53"/>
      <c r="B137" s="61"/>
      <c r="I137" s="62" t="str">
        <f t="shared" si="3"/>
        <v/>
      </c>
      <c r="J137" s="63" t="str">
        <f t="shared" si="4"/>
        <v/>
      </c>
    </row>
    <row r="138" spans="1:10">
      <c r="I138" s="62" t="str">
        <f t="shared" si="3"/>
        <v/>
      </c>
      <c r="J138" s="63" t="str">
        <f t="shared" si="4"/>
        <v/>
      </c>
    </row>
    <row r="139" spans="1:10">
      <c r="I139" s="62" t="str">
        <f t="shared" si="3"/>
        <v/>
      </c>
      <c r="J139" s="63" t="str">
        <f t="shared" si="4"/>
        <v/>
      </c>
    </row>
    <row r="140" spans="1:10">
      <c r="A140" s="57"/>
      <c r="B140" s="58"/>
      <c r="I140" s="62" t="str">
        <f t="shared" ref="I140:I203" si="5">IF(B140="","",IF(B140="Total",I138,IF(B138="Total",I138, IF(ISNUMBER(A140),A140,I139))))</f>
        <v/>
      </c>
      <c r="J140" s="63" t="str">
        <f t="shared" si="4"/>
        <v/>
      </c>
    </row>
    <row r="141" spans="1:10" ht="15">
      <c r="A141" s="59"/>
      <c r="B141" s="58"/>
      <c r="I141" s="62" t="str">
        <f t="shared" si="5"/>
        <v/>
      </c>
      <c r="J141" s="63" t="str">
        <f t="shared" si="4"/>
        <v/>
      </c>
    </row>
    <row r="142" spans="1:10">
      <c r="A142" s="60"/>
      <c r="B142" s="58"/>
      <c r="I142" s="62" t="str">
        <f t="shared" si="5"/>
        <v/>
      </c>
      <c r="J142" s="63" t="str">
        <f t="shared" si="4"/>
        <v/>
      </c>
    </row>
    <row r="143" spans="1:10">
      <c r="A143" s="60"/>
      <c r="B143" s="58"/>
      <c r="I143" s="62" t="str">
        <f t="shared" si="5"/>
        <v/>
      </c>
      <c r="J143" s="63" t="str">
        <f t="shared" ref="J143:J206" si="6">IF(B143="","",IF(B143="Total",J141,IF(B141="Total",J141,IF(A143="",J142,IF(ISNUMBER(A142),B142,IF(ISNUMBER(A143),B143,J142))))))</f>
        <v/>
      </c>
    </row>
    <row r="144" spans="1:10">
      <c r="A144" s="60"/>
      <c r="B144" s="58"/>
      <c r="I144" s="62" t="str">
        <f t="shared" si="5"/>
        <v/>
      </c>
      <c r="J144" s="63" t="str">
        <f t="shared" si="6"/>
        <v/>
      </c>
    </row>
    <row r="145" spans="1:10">
      <c r="A145" s="60"/>
      <c r="B145" s="58"/>
      <c r="I145" s="62" t="str">
        <f t="shared" si="5"/>
        <v/>
      </c>
      <c r="J145" s="63" t="str">
        <f t="shared" si="6"/>
        <v/>
      </c>
    </row>
    <row r="146" spans="1:10">
      <c r="A146" s="60"/>
      <c r="B146" s="58"/>
      <c r="I146" s="62" t="str">
        <f t="shared" si="5"/>
        <v/>
      </c>
      <c r="J146" s="63" t="str">
        <f t="shared" si="6"/>
        <v/>
      </c>
    </row>
    <row r="147" spans="1:10">
      <c r="A147" s="60"/>
      <c r="B147" s="58"/>
      <c r="I147" s="62" t="str">
        <f t="shared" si="5"/>
        <v/>
      </c>
      <c r="J147" s="63" t="str">
        <f t="shared" si="6"/>
        <v/>
      </c>
    </row>
    <row r="148" spans="1:10">
      <c r="A148" s="60"/>
      <c r="B148" s="58"/>
      <c r="I148" s="62" t="str">
        <f t="shared" si="5"/>
        <v/>
      </c>
      <c r="J148" s="63" t="str">
        <f t="shared" si="6"/>
        <v/>
      </c>
    </row>
    <row r="149" spans="1:10">
      <c r="A149" s="60"/>
      <c r="B149" s="58"/>
      <c r="I149" s="62" t="str">
        <f t="shared" si="5"/>
        <v/>
      </c>
      <c r="J149" s="63" t="str">
        <f t="shared" si="6"/>
        <v/>
      </c>
    </row>
    <row r="150" spans="1:10">
      <c r="A150" s="60"/>
      <c r="B150" s="58"/>
      <c r="I150" s="62" t="str">
        <f t="shared" si="5"/>
        <v/>
      </c>
      <c r="J150" s="63" t="str">
        <f t="shared" si="6"/>
        <v/>
      </c>
    </row>
    <row r="151" spans="1:10">
      <c r="A151" s="60"/>
      <c r="B151" s="58"/>
      <c r="I151" s="62" t="str">
        <f t="shared" si="5"/>
        <v/>
      </c>
      <c r="J151" s="63" t="str">
        <f t="shared" si="6"/>
        <v/>
      </c>
    </row>
    <row r="152" spans="1:10">
      <c r="A152" s="53"/>
      <c r="I152" s="62" t="str">
        <f t="shared" si="5"/>
        <v/>
      </c>
      <c r="J152" s="63" t="str">
        <f t="shared" si="6"/>
        <v/>
      </c>
    </row>
    <row r="153" spans="1:10" ht="15.75">
      <c r="A153" s="53"/>
      <c r="B153" s="61"/>
      <c r="I153" s="62" t="str">
        <f t="shared" si="5"/>
        <v/>
      </c>
      <c r="J153" s="63" t="str">
        <f t="shared" si="6"/>
        <v/>
      </c>
    </row>
    <row r="154" spans="1:10">
      <c r="I154" s="62" t="str">
        <f t="shared" si="5"/>
        <v/>
      </c>
      <c r="J154" s="63" t="str">
        <f t="shared" si="6"/>
        <v/>
      </c>
    </row>
    <row r="155" spans="1:10">
      <c r="I155" s="62" t="str">
        <f t="shared" si="5"/>
        <v/>
      </c>
      <c r="J155" s="63" t="str">
        <f t="shared" si="6"/>
        <v/>
      </c>
    </row>
    <row r="156" spans="1:10">
      <c r="A156" s="57"/>
      <c r="B156" s="58"/>
      <c r="I156" s="62" t="str">
        <f t="shared" si="5"/>
        <v/>
      </c>
      <c r="J156" s="63" t="str">
        <f t="shared" si="6"/>
        <v/>
      </c>
    </row>
    <row r="157" spans="1:10" ht="15">
      <c r="A157" s="59"/>
      <c r="B157" s="58"/>
      <c r="I157" s="62" t="str">
        <f t="shared" si="5"/>
        <v/>
      </c>
      <c r="J157" s="63" t="str">
        <f t="shared" si="6"/>
        <v/>
      </c>
    </row>
    <row r="158" spans="1:10">
      <c r="A158" s="60"/>
      <c r="B158" s="58"/>
      <c r="I158" s="62" t="str">
        <f t="shared" si="5"/>
        <v/>
      </c>
      <c r="J158" s="63" t="str">
        <f t="shared" si="6"/>
        <v/>
      </c>
    </row>
    <row r="159" spans="1:10">
      <c r="A159" s="60"/>
      <c r="B159" s="58"/>
      <c r="I159" s="62" t="str">
        <f t="shared" si="5"/>
        <v/>
      </c>
      <c r="J159" s="63" t="str">
        <f t="shared" si="6"/>
        <v/>
      </c>
    </row>
    <row r="160" spans="1:10">
      <c r="A160" s="60"/>
      <c r="B160" s="58"/>
      <c r="I160" s="62" t="str">
        <f t="shared" si="5"/>
        <v/>
      </c>
      <c r="J160" s="63" t="str">
        <f t="shared" si="6"/>
        <v/>
      </c>
    </row>
    <row r="161" spans="1:10">
      <c r="A161" s="60"/>
      <c r="B161" s="58"/>
      <c r="I161" s="62" t="str">
        <f t="shared" si="5"/>
        <v/>
      </c>
      <c r="J161" s="63" t="str">
        <f t="shared" si="6"/>
        <v/>
      </c>
    </row>
    <row r="162" spans="1:10">
      <c r="A162" s="60"/>
      <c r="B162" s="58"/>
      <c r="I162" s="62" t="str">
        <f t="shared" si="5"/>
        <v/>
      </c>
      <c r="J162" s="63" t="str">
        <f t="shared" si="6"/>
        <v/>
      </c>
    </row>
    <row r="163" spans="1:10">
      <c r="A163" s="60"/>
      <c r="B163" s="58"/>
      <c r="I163" s="62" t="str">
        <f t="shared" si="5"/>
        <v/>
      </c>
      <c r="J163" s="63" t="str">
        <f t="shared" si="6"/>
        <v/>
      </c>
    </row>
    <row r="164" spans="1:10">
      <c r="A164" s="60"/>
      <c r="B164" s="58"/>
      <c r="I164" s="62" t="str">
        <f t="shared" si="5"/>
        <v/>
      </c>
      <c r="J164" s="63" t="str">
        <f t="shared" si="6"/>
        <v/>
      </c>
    </row>
    <row r="165" spans="1:10">
      <c r="A165" s="60"/>
      <c r="B165" s="58"/>
      <c r="I165" s="62" t="str">
        <f t="shared" si="5"/>
        <v/>
      </c>
      <c r="J165" s="63" t="str">
        <f t="shared" si="6"/>
        <v/>
      </c>
    </row>
    <row r="166" spans="1:10">
      <c r="A166" s="60"/>
      <c r="B166" s="58"/>
      <c r="I166" s="62" t="str">
        <f t="shared" si="5"/>
        <v/>
      </c>
      <c r="J166" s="63" t="str">
        <f t="shared" si="6"/>
        <v/>
      </c>
    </row>
    <row r="167" spans="1:10">
      <c r="A167" s="60"/>
      <c r="B167" s="58"/>
      <c r="I167" s="62" t="str">
        <f t="shared" si="5"/>
        <v/>
      </c>
      <c r="J167" s="63" t="str">
        <f t="shared" si="6"/>
        <v/>
      </c>
    </row>
    <row r="168" spans="1:10">
      <c r="A168" s="53"/>
      <c r="I168" s="62" t="str">
        <f t="shared" si="5"/>
        <v/>
      </c>
      <c r="J168" s="63" t="str">
        <f t="shared" si="6"/>
        <v/>
      </c>
    </row>
    <row r="169" spans="1:10" ht="15.75">
      <c r="A169" s="53"/>
      <c r="B169" s="61"/>
      <c r="I169" s="62" t="str">
        <f t="shared" si="5"/>
        <v/>
      </c>
      <c r="J169" s="63" t="str">
        <f t="shared" si="6"/>
        <v/>
      </c>
    </row>
    <row r="170" spans="1:10">
      <c r="I170" s="62" t="str">
        <f t="shared" si="5"/>
        <v/>
      </c>
      <c r="J170" s="63" t="str">
        <f t="shared" si="6"/>
        <v/>
      </c>
    </row>
    <row r="171" spans="1:10">
      <c r="I171" s="62" t="str">
        <f t="shared" si="5"/>
        <v/>
      </c>
      <c r="J171" s="63" t="str">
        <f t="shared" si="6"/>
        <v/>
      </c>
    </row>
    <row r="172" spans="1:10">
      <c r="I172" s="62" t="str">
        <f t="shared" si="5"/>
        <v/>
      </c>
      <c r="J172" s="63" t="str">
        <f t="shared" si="6"/>
        <v/>
      </c>
    </row>
    <row r="173" spans="1:10">
      <c r="I173" s="62" t="str">
        <f t="shared" si="5"/>
        <v/>
      </c>
      <c r="J173" s="63" t="str">
        <f t="shared" si="6"/>
        <v/>
      </c>
    </row>
    <row r="174" spans="1:10">
      <c r="I174" s="62" t="str">
        <f t="shared" si="5"/>
        <v/>
      </c>
      <c r="J174" s="63" t="str">
        <f t="shared" si="6"/>
        <v/>
      </c>
    </row>
    <row r="175" spans="1:10">
      <c r="I175" s="62" t="str">
        <f t="shared" si="5"/>
        <v/>
      </c>
      <c r="J175" s="63" t="str">
        <f t="shared" si="6"/>
        <v/>
      </c>
    </row>
    <row r="176" spans="1:10">
      <c r="I176" s="62" t="str">
        <f t="shared" si="5"/>
        <v/>
      </c>
      <c r="J176" s="63" t="str">
        <f t="shared" si="6"/>
        <v/>
      </c>
    </row>
    <row r="177" spans="9:10">
      <c r="I177" s="62" t="str">
        <f t="shared" si="5"/>
        <v/>
      </c>
      <c r="J177" s="63" t="str">
        <f t="shared" si="6"/>
        <v/>
      </c>
    </row>
    <row r="178" spans="9:10">
      <c r="I178" s="62" t="str">
        <f t="shared" si="5"/>
        <v/>
      </c>
      <c r="J178" s="63" t="str">
        <f t="shared" si="6"/>
        <v/>
      </c>
    </row>
    <row r="179" spans="9:10">
      <c r="I179" s="62" t="str">
        <f t="shared" si="5"/>
        <v/>
      </c>
      <c r="J179" s="63" t="str">
        <f t="shared" si="6"/>
        <v/>
      </c>
    </row>
    <row r="180" spans="9:10">
      <c r="I180" s="62" t="str">
        <f t="shared" si="5"/>
        <v/>
      </c>
      <c r="J180" s="63" t="str">
        <f t="shared" si="6"/>
        <v/>
      </c>
    </row>
    <row r="181" spans="9:10">
      <c r="I181" s="62" t="str">
        <f t="shared" si="5"/>
        <v/>
      </c>
      <c r="J181" s="63" t="str">
        <f t="shared" si="6"/>
        <v/>
      </c>
    </row>
    <row r="182" spans="9:10">
      <c r="I182" s="62" t="str">
        <f t="shared" si="5"/>
        <v/>
      </c>
      <c r="J182" s="63" t="str">
        <f t="shared" si="6"/>
        <v/>
      </c>
    </row>
    <row r="183" spans="9:10">
      <c r="I183" s="62" t="str">
        <f t="shared" si="5"/>
        <v/>
      </c>
      <c r="J183" s="63" t="str">
        <f t="shared" si="6"/>
        <v/>
      </c>
    </row>
    <row r="184" spans="9:10">
      <c r="I184" s="62" t="str">
        <f t="shared" si="5"/>
        <v/>
      </c>
      <c r="J184" s="63" t="str">
        <f t="shared" si="6"/>
        <v/>
      </c>
    </row>
    <row r="185" spans="9:10">
      <c r="I185" s="62" t="str">
        <f t="shared" si="5"/>
        <v/>
      </c>
      <c r="J185" s="63" t="str">
        <f t="shared" si="6"/>
        <v/>
      </c>
    </row>
    <row r="186" spans="9:10">
      <c r="I186" s="62" t="str">
        <f t="shared" si="5"/>
        <v/>
      </c>
      <c r="J186" s="63" t="str">
        <f t="shared" si="6"/>
        <v/>
      </c>
    </row>
    <row r="187" spans="9:10">
      <c r="I187" s="62" t="str">
        <f t="shared" si="5"/>
        <v/>
      </c>
      <c r="J187" s="63" t="str">
        <f t="shared" si="6"/>
        <v/>
      </c>
    </row>
    <row r="188" spans="9:10">
      <c r="I188" s="62" t="str">
        <f t="shared" si="5"/>
        <v/>
      </c>
      <c r="J188" s="63" t="str">
        <f t="shared" si="6"/>
        <v/>
      </c>
    </row>
    <row r="189" spans="9:10">
      <c r="I189" s="62" t="str">
        <f t="shared" si="5"/>
        <v/>
      </c>
      <c r="J189" s="63" t="str">
        <f t="shared" si="6"/>
        <v/>
      </c>
    </row>
    <row r="190" spans="9:10">
      <c r="I190" s="62" t="str">
        <f t="shared" si="5"/>
        <v/>
      </c>
      <c r="J190" s="63" t="str">
        <f t="shared" si="6"/>
        <v/>
      </c>
    </row>
    <row r="191" spans="9:10">
      <c r="I191" s="62" t="str">
        <f t="shared" si="5"/>
        <v/>
      </c>
      <c r="J191" s="63" t="str">
        <f t="shared" si="6"/>
        <v/>
      </c>
    </row>
    <row r="192" spans="9:10">
      <c r="I192" s="62" t="str">
        <f t="shared" si="5"/>
        <v/>
      </c>
      <c r="J192" s="63" t="str">
        <f t="shared" si="6"/>
        <v/>
      </c>
    </row>
    <row r="193" spans="9:10">
      <c r="I193" s="62" t="str">
        <f t="shared" si="5"/>
        <v/>
      </c>
      <c r="J193" s="63" t="str">
        <f t="shared" si="6"/>
        <v/>
      </c>
    </row>
    <row r="194" spans="9:10">
      <c r="I194" s="62" t="str">
        <f t="shared" si="5"/>
        <v/>
      </c>
      <c r="J194" s="63" t="str">
        <f t="shared" si="6"/>
        <v/>
      </c>
    </row>
    <row r="195" spans="9:10">
      <c r="I195" s="62" t="str">
        <f t="shared" si="5"/>
        <v/>
      </c>
      <c r="J195" s="63" t="str">
        <f t="shared" si="6"/>
        <v/>
      </c>
    </row>
    <row r="196" spans="9:10">
      <c r="I196" s="62" t="str">
        <f t="shared" si="5"/>
        <v/>
      </c>
      <c r="J196" s="63" t="str">
        <f t="shared" si="6"/>
        <v/>
      </c>
    </row>
    <row r="197" spans="9:10">
      <c r="I197" s="62" t="str">
        <f t="shared" si="5"/>
        <v/>
      </c>
      <c r="J197" s="63" t="str">
        <f t="shared" si="6"/>
        <v/>
      </c>
    </row>
    <row r="198" spans="9:10">
      <c r="I198" s="62" t="str">
        <f t="shared" si="5"/>
        <v/>
      </c>
      <c r="J198" s="63" t="str">
        <f t="shared" si="6"/>
        <v/>
      </c>
    </row>
    <row r="199" spans="9:10">
      <c r="I199" s="62" t="str">
        <f t="shared" si="5"/>
        <v/>
      </c>
      <c r="J199" s="63" t="str">
        <f t="shared" si="6"/>
        <v/>
      </c>
    </row>
    <row r="200" spans="9:10">
      <c r="I200" s="62" t="str">
        <f t="shared" si="5"/>
        <v/>
      </c>
      <c r="J200" s="63" t="str">
        <f t="shared" si="6"/>
        <v/>
      </c>
    </row>
    <row r="201" spans="9:10">
      <c r="I201" s="62" t="str">
        <f t="shared" si="5"/>
        <v/>
      </c>
      <c r="J201" s="63" t="str">
        <f t="shared" si="6"/>
        <v/>
      </c>
    </row>
    <row r="202" spans="9:10">
      <c r="I202" s="62" t="str">
        <f t="shared" si="5"/>
        <v/>
      </c>
      <c r="J202" s="63" t="str">
        <f t="shared" si="6"/>
        <v/>
      </c>
    </row>
    <row r="203" spans="9:10">
      <c r="I203" s="62" t="str">
        <f t="shared" si="5"/>
        <v/>
      </c>
      <c r="J203" s="63" t="str">
        <f t="shared" si="6"/>
        <v/>
      </c>
    </row>
    <row r="204" spans="9:10">
      <c r="I204" s="62" t="str">
        <f t="shared" ref="I204:I267" si="7">IF(B204="","",IF(B204="Total",I202,IF(B202="Total",I202, IF(ISNUMBER(A204),A204,I203))))</f>
        <v/>
      </c>
      <c r="J204" s="63" t="str">
        <f t="shared" si="6"/>
        <v/>
      </c>
    </row>
    <row r="205" spans="9:10">
      <c r="I205" s="62" t="str">
        <f t="shared" si="7"/>
        <v/>
      </c>
      <c r="J205" s="63" t="str">
        <f t="shared" si="6"/>
        <v/>
      </c>
    </row>
    <row r="206" spans="9:10">
      <c r="I206" s="62" t="str">
        <f t="shared" si="7"/>
        <v/>
      </c>
      <c r="J206" s="63" t="str">
        <f t="shared" si="6"/>
        <v/>
      </c>
    </row>
    <row r="207" spans="9:10">
      <c r="I207" s="62" t="str">
        <f t="shared" si="7"/>
        <v/>
      </c>
      <c r="J207" s="63" t="str">
        <f t="shared" ref="J207:J270" si="8">IF(B207="","",IF(B207="Total",J205,IF(B205="Total",J205,IF(A207="",J206,IF(ISNUMBER(A206),B206,IF(ISNUMBER(A207),B207,J206))))))</f>
        <v/>
      </c>
    </row>
    <row r="208" spans="9:10">
      <c r="I208" s="62" t="str">
        <f t="shared" si="7"/>
        <v/>
      </c>
      <c r="J208" s="63" t="str">
        <f t="shared" si="8"/>
        <v/>
      </c>
    </row>
    <row r="209" spans="9:10">
      <c r="I209" s="62" t="str">
        <f t="shared" si="7"/>
        <v/>
      </c>
      <c r="J209" s="63" t="str">
        <f t="shared" si="8"/>
        <v/>
      </c>
    </row>
    <row r="210" spans="9:10">
      <c r="I210" s="62" t="str">
        <f t="shared" si="7"/>
        <v/>
      </c>
      <c r="J210" s="63" t="str">
        <f t="shared" si="8"/>
        <v/>
      </c>
    </row>
    <row r="211" spans="9:10">
      <c r="I211" s="62" t="str">
        <f t="shared" si="7"/>
        <v/>
      </c>
      <c r="J211" s="63" t="str">
        <f t="shared" si="8"/>
        <v/>
      </c>
    </row>
    <row r="212" spans="9:10">
      <c r="I212" s="62" t="str">
        <f t="shared" si="7"/>
        <v/>
      </c>
      <c r="J212" s="63" t="str">
        <f t="shared" si="8"/>
        <v/>
      </c>
    </row>
    <row r="213" spans="9:10">
      <c r="I213" s="62" t="str">
        <f t="shared" si="7"/>
        <v/>
      </c>
      <c r="J213" s="63" t="str">
        <f t="shared" si="8"/>
        <v/>
      </c>
    </row>
    <row r="214" spans="9:10">
      <c r="I214" s="62" t="str">
        <f t="shared" si="7"/>
        <v/>
      </c>
      <c r="J214" s="63" t="str">
        <f t="shared" si="8"/>
        <v/>
      </c>
    </row>
    <row r="215" spans="9:10">
      <c r="I215" s="62" t="str">
        <f t="shared" si="7"/>
        <v/>
      </c>
      <c r="J215" s="63" t="str">
        <f t="shared" si="8"/>
        <v/>
      </c>
    </row>
    <row r="216" spans="9:10">
      <c r="I216" s="62" t="str">
        <f t="shared" si="7"/>
        <v/>
      </c>
      <c r="J216" s="63" t="str">
        <f t="shared" si="8"/>
        <v/>
      </c>
    </row>
    <row r="217" spans="9:10">
      <c r="I217" s="62" t="str">
        <f t="shared" si="7"/>
        <v/>
      </c>
      <c r="J217" s="63" t="str">
        <f t="shared" si="8"/>
        <v/>
      </c>
    </row>
    <row r="218" spans="9:10">
      <c r="I218" s="62" t="str">
        <f t="shared" si="7"/>
        <v/>
      </c>
      <c r="J218" s="63" t="str">
        <f t="shared" si="8"/>
        <v/>
      </c>
    </row>
    <row r="219" spans="9:10">
      <c r="I219" s="62" t="str">
        <f t="shared" si="7"/>
        <v/>
      </c>
      <c r="J219" s="63" t="str">
        <f t="shared" si="8"/>
        <v/>
      </c>
    </row>
    <row r="220" spans="9:10">
      <c r="I220" s="62" t="str">
        <f t="shared" si="7"/>
        <v/>
      </c>
      <c r="J220" s="63" t="str">
        <f t="shared" si="8"/>
        <v/>
      </c>
    </row>
    <row r="221" spans="9:10">
      <c r="I221" s="62" t="str">
        <f t="shared" si="7"/>
        <v/>
      </c>
      <c r="J221" s="63" t="str">
        <f t="shared" si="8"/>
        <v/>
      </c>
    </row>
    <row r="222" spans="9:10">
      <c r="I222" s="62" t="str">
        <f t="shared" si="7"/>
        <v/>
      </c>
      <c r="J222" s="63" t="str">
        <f t="shared" si="8"/>
        <v/>
      </c>
    </row>
    <row r="223" spans="9:10">
      <c r="I223" s="62" t="str">
        <f t="shared" si="7"/>
        <v/>
      </c>
      <c r="J223" s="63" t="str">
        <f t="shared" si="8"/>
        <v/>
      </c>
    </row>
    <row r="224" spans="9:10">
      <c r="I224" s="62" t="str">
        <f t="shared" si="7"/>
        <v/>
      </c>
      <c r="J224" s="63" t="str">
        <f t="shared" si="8"/>
        <v/>
      </c>
    </row>
    <row r="225" spans="9:10">
      <c r="I225" s="62" t="str">
        <f t="shared" si="7"/>
        <v/>
      </c>
      <c r="J225" s="63" t="str">
        <f t="shared" si="8"/>
        <v/>
      </c>
    </row>
    <row r="226" spans="9:10">
      <c r="I226" s="62" t="str">
        <f t="shared" si="7"/>
        <v/>
      </c>
      <c r="J226" s="63" t="str">
        <f t="shared" si="8"/>
        <v/>
      </c>
    </row>
    <row r="227" spans="9:10">
      <c r="I227" s="62" t="str">
        <f t="shared" si="7"/>
        <v/>
      </c>
      <c r="J227" s="63" t="str">
        <f t="shared" si="8"/>
        <v/>
      </c>
    </row>
    <row r="228" spans="9:10">
      <c r="I228" s="62" t="str">
        <f t="shared" si="7"/>
        <v/>
      </c>
      <c r="J228" s="63" t="str">
        <f t="shared" si="8"/>
        <v/>
      </c>
    </row>
    <row r="229" spans="9:10">
      <c r="I229" s="62" t="str">
        <f t="shared" si="7"/>
        <v/>
      </c>
      <c r="J229" s="63" t="str">
        <f t="shared" si="8"/>
        <v/>
      </c>
    </row>
    <row r="230" spans="9:10">
      <c r="I230" s="62" t="str">
        <f t="shared" si="7"/>
        <v/>
      </c>
      <c r="J230" s="63" t="str">
        <f t="shared" si="8"/>
        <v/>
      </c>
    </row>
    <row r="231" spans="9:10">
      <c r="I231" s="62" t="str">
        <f t="shared" si="7"/>
        <v/>
      </c>
      <c r="J231" s="63" t="str">
        <f t="shared" si="8"/>
        <v/>
      </c>
    </row>
    <row r="232" spans="9:10">
      <c r="I232" s="62" t="str">
        <f t="shared" si="7"/>
        <v/>
      </c>
      <c r="J232" s="63" t="str">
        <f t="shared" si="8"/>
        <v/>
      </c>
    </row>
    <row r="233" spans="9:10">
      <c r="I233" s="62" t="str">
        <f t="shared" si="7"/>
        <v/>
      </c>
      <c r="J233" s="63" t="str">
        <f t="shared" si="8"/>
        <v/>
      </c>
    </row>
    <row r="234" spans="9:10">
      <c r="I234" s="62" t="str">
        <f t="shared" si="7"/>
        <v/>
      </c>
      <c r="J234" s="63" t="str">
        <f t="shared" si="8"/>
        <v/>
      </c>
    </row>
    <row r="235" spans="9:10">
      <c r="I235" s="62" t="str">
        <f t="shared" si="7"/>
        <v/>
      </c>
      <c r="J235" s="63" t="str">
        <f t="shared" si="8"/>
        <v/>
      </c>
    </row>
    <row r="236" spans="9:10">
      <c r="I236" s="62" t="str">
        <f t="shared" si="7"/>
        <v/>
      </c>
      <c r="J236" s="63" t="str">
        <f t="shared" si="8"/>
        <v/>
      </c>
    </row>
    <row r="237" spans="9:10">
      <c r="I237" s="62" t="str">
        <f t="shared" si="7"/>
        <v/>
      </c>
      <c r="J237" s="63" t="str">
        <f t="shared" si="8"/>
        <v/>
      </c>
    </row>
    <row r="238" spans="9:10">
      <c r="I238" s="62" t="str">
        <f t="shared" si="7"/>
        <v/>
      </c>
      <c r="J238" s="63" t="str">
        <f t="shared" si="8"/>
        <v/>
      </c>
    </row>
    <row r="239" spans="9:10">
      <c r="I239" s="62" t="str">
        <f t="shared" si="7"/>
        <v/>
      </c>
      <c r="J239" s="63" t="str">
        <f t="shared" si="8"/>
        <v/>
      </c>
    </row>
    <row r="240" spans="9:10">
      <c r="I240" s="62" t="str">
        <f t="shared" si="7"/>
        <v/>
      </c>
      <c r="J240" s="63" t="str">
        <f t="shared" si="8"/>
        <v/>
      </c>
    </row>
    <row r="241" spans="9:10">
      <c r="I241" s="62" t="str">
        <f t="shared" si="7"/>
        <v/>
      </c>
      <c r="J241" s="63" t="str">
        <f t="shared" si="8"/>
        <v/>
      </c>
    </row>
    <row r="242" spans="9:10">
      <c r="I242" s="62" t="str">
        <f t="shared" si="7"/>
        <v/>
      </c>
      <c r="J242" s="63" t="str">
        <f t="shared" si="8"/>
        <v/>
      </c>
    </row>
    <row r="243" spans="9:10">
      <c r="I243" s="62" t="str">
        <f t="shared" si="7"/>
        <v/>
      </c>
      <c r="J243" s="63" t="str">
        <f t="shared" si="8"/>
        <v/>
      </c>
    </row>
    <row r="244" spans="9:10">
      <c r="I244" s="62" t="str">
        <f t="shared" si="7"/>
        <v/>
      </c>
      <c r="J244" s="63" t="str">
        <f t="shared" si="8"/>
        <v/>
      </c>
    </row>
    <row r="245" spans="9:10">
      <c r="I245" s="62" t="str">
        <f t="shared" si="7"/>
        <v/>
      </c>
      <c r="J245" s="63" t="str">
        <f t="shared" si="8"/>
        <v/>
      </c>
    </row>
    <row r="246" spans="9:10">
      <c r="I246" s="62" t="str">
        <f t="shared" si="7"/>
        <v/>
      </c>
      <c r="J246" s="63" t="str">
        <f t="shared" si="8"/>
        <v/>
      </c>
    </row>
    <row r="247" spans="9:10">
      <c r="I247" s="62" t="str">
        <f t="shared" si="7"/>
        <v/>
      </c>
      <c r="J247" s="63" t="str">
        <f t="shared" si="8"/>
        <v/>
      </c>
    </row>
    <row r="248" spans="9:10">
      <c r="I248" s="62" t="str">
        <f t="shared" si="7"/>
        <v/>
      </c>
      <c r="J248" s="63" t="str">
        <f t="shared" si="8"/>
        <v/>
      </c>
    </row>
    <row r="249" spans="9:10">
      <c r="I249" s="62" t="str">
        <f t="shared" si="7"/>
        <v/>
      </c>
      <c r="J249" s="63" t="str">
        <f t="shared" si="8"/>
        <v/>
      </c>
    </row>
    <row r="250" spans="9:10">
      <c r="I250" s="62" t="str">
        <f t="shared" si="7"/>
        <v/>
      </c>
      <c r="J250" s="63" t="str">
        <f t="shared" si="8"/>
        <v/>
      </c>
    </row>
    <row r="251" spans="9:10">
      <c r="I251" s="62" t="str">
        <f t="shared" si="7"/>
        <v/>
      </c>
      <c r="J251" s="63" t="str">
        <f t="shared" si="8"/>
        <v/>
      </c>
    </row>
    <row r="252" spans="9:10">
      <c r="I252" s="62" t="str">
        <f t="shared" si="7"/>
        <v/>
      </c>
      <c r="J252" s="63" t="str">
        <f t="shared" si="8"/>
        <v/>
      </c>
    </row>
    <row r="253" spans="9:10">
      <c r="I253" s="62" t="str">
        <f t="shared" si="7"/>
        <v/>
      </c>
      <c r="J253" s="63" t="str">
        <f t="shared" si="8"/>
        <v/>
      </c>
    </row>
    <row r="254" spans="9:10">
      <c r="I254" s="62" t="str">
        <f t="shared" si="7"/>
        <v/>
      </c>
      <c r="J254" s="63" t="str">
        <f t="shared" si="8"/>
        <v/>
      </c>
    </row>
    <row r="255" spans="9:10">
      <c r="I255" s="62" t="str">
        <f t="shared" si="7"/>
        <v/>
      </c>
      <c r="J255" s="63" t="str">
        <f t="shared" si="8"/>
        <v/>
      </c>
    </row>
    <row r="256" spans="9:10">
      <c r="I256" s="62" t="str">
        <f t="shared" si="7"/>
        <v/>
      </c>
      <c r="J256" s="63" t="str">
        <f t="shared" si="8"/>
        <v/>
      </c>
    </row>
    <row r="257" spans="9:10">
      <c r="I257" s="62" t="str">
        <f t="shared" si="7"/>
        <v/>
      </c>
      <c r="J257" s="63" t="str">
        <f t="shared" si="8"/>
        <v/>
      </c>
    </row>
    <row r="258" spans="9:10">
      <c r="I258" s="62" t="str">
        <f t="shared" si="7"/>
        <v/>
      </c>
      <c r="J258" s="63" t="str">
        <f t="shared" si="8"/>
        <v/>
      </c>
    </row>
    <row r="259" spans="9:10">
      <c r="I259" s="62" t="str">
        <f t="shared" si="7"/>
        <v/>
      </c>
      <c r="J259" s="63" t="str">
        <f t="shared" si="8"/>
        <v/>
      </c>
    </row>
    <row r="260" spans="9:10">
      <c r="I260" s="62" t="str">
        <f t="shared" si="7"/>
        <v/>
      </c>
      <c r="J260" s="63" t="str">
        <f t="shared" si="8"/>
        <v/>
      </c>
    </row>
    <row r="261" spans="9:10">
      <c r="I261" s="62" t="str">
        <f t="shared" si="7"/>
        <v/>
      </c>
      <c r="J261" s="63" t="str">
        <f t="shared" si="8"/>
        <v/>
      </c>
    </row>
    <row r="262" spans="9:10">
      <c r="I262" s="62" t="str">
        <f t="shared" si="7"/>
        <v/>
      </c>
      <c r="J262" s="63" t="str">
        <f t="shared" si="8"/>
        <v/>
      </c>
    </row>
    <row r="263" spans="9:10">
      <c r="I263" s="62" t="str">
        <f t="shared" si="7"/>
        <v/>
      </c>
      <c r="J263" s="63" t="str">
        <f t="shared" si="8"/>
        <v/>
      </c>
    </row>
    <row r="264" spans="9:10">
      <c r="I264" s="62" t="str">
        <f t="shared" si="7"/>
        <v/>
      </c>
      <c r="J264" s="63" t="str">
        <f t="shared" si="8"/>
        <v/>
      </c>
    </row>
    <row r="265" spans="9:10">
      <c r="I265" s="62" t="str">
        <f t="shared" si="7"/>
        <v/>
      </c>
      <c r="J265" s="63" t="str">
        <f t="shared" si="8"/>
        <v/>
      </c>
    </row>
    <row r="266" spans="9:10">
      <c r="I266" s="62" t="str">
        <f t="shared" si="7"/>
        <v/>
      </c>
      <c r="J266" s="63" t="str">
        <f t="shared" si="8"/>
        <v/>
      </c>
    </row>
    <row r="267" spans="9:10">
      <c r="I267" s="62" t="str">
        <f t="shared" si="7"/>
        <v/>
      </c>
      <c r="J267" s="63" t="str">
        <f t="shared" si="8"/>
        <v/>
      </c>
    </row>
    <row r="268" spans="9:10">
      <c r="I268" s="62" t="str">
        <f t="shared" ref="I268:I331" si="9">IF(B268="","",IF(B268="Total",I266,IF(B266="Total",I266, IF(ISNUMBER(A268),A268,I267))))</f>
        <v/>
      </c>
      <c r="J268" s="63" t="str">
        <f t="shared" si="8"/>
        <v/>
      </c>
    </row>
    <row r="269" spans="9:10">
      <c r="I269" s="62" t="str">
        <f t="shared" si="9"/>
        <v/>
      </c>
      <c r="J269" s="63" t="str">
        <f t="shared" si="8"/>
        <v/>
      </c>
    </row>
    <row r="270" spans="9:10">
      <c r="I270" s="62" t="str">
        <f t="shared" si="9"/>
        <v/>
      </c>
      <c r="J270" s="63" t="str">
        <f t="shared" si="8"/>
        <v/>
      </c>
    </row>
    <row r="271" spans="9:10">
      <c r="I271" s="62" t="str">
        <f t="shared" si="9"/>
        <v/>
      </c>
      <c r="J271" s="63" t="str">
        <f t="shared" ref="J271:J334" si="10">IF(B271="","",IF(B271="Total",J269,IF(B269="Total",J269,IF(A271="",J270,IF(ISNUMBER(A270),B270,IF(ISNUMBER(A271),B271,J270))))))</f>
        <v/>
      </c>
    </row>
    <row r="272" spans="9:10">
      <c r="I272" s="62" t="str">
        <f t="shared" si="9"/>
        <v/>
      </c>
      <c r="J272" s="63" t="str">
        <f t="shared" si="10"/>
        <v/>
      </c>
    </row>
    <row r="273" spans="9:10">
      <c r="I273" s="62" t="str">
        <f t="shared" si="9"/>
        <v/>
      </c>
      <c r="J273" s="63" t="str">
        <f t="shared" si="10"/>
        <v/>
      </c>
    </row>
    <row r="274" spans="9:10">
      <c r="I274" s="62" t="str">
        <f t="shared" si="9"/>
        <v/>
      </c>
      <c r="J274" s="63" t="str">
        <f t="shared" si="10"/>
        <v/>
      </c>
    </row>
    <row r="275" spans="9:10">
      <c r="I275" s="62" t="str">
        <f t="shared" si="9"/>
        <v/>
      </c>
      <c r="J275" s="63" t="str">
        <f t="shared" si="10"/>
        <v/>
      </c>
    </row>
    <row r="276" spans="9:10">
      <c r="I276" s="62" t="str">
        <f t="shared" si="9"/>
        <v/>
      </c>
      <c r="J276" s="63" t="str">
        <f t="shared" si="10"/>
        <v/>
      </c>
    </row>
    <row r="277" spans="9:10">
      <c r="I277" s="62" t="str">
        <f t="shared" si="9"/>
        <v/>
      </c>
      <c r="J277" s="63" t="str">
        <f t="shared" si="10"/>
        <v/>
      </c>
    </row>
    <row r="278" spans="9:10">
      <c r="I278" s="62" t="str">
        <f t="shared" si="9"/>
        <v/>
      </c>
      <c r="J278" s="63" t="str">
        <f t="shared" si="10"/>
        <v/>
      </c>
    </row>
    <row r="279" spans="9:10">
      <c r="I279" s="62" t="str">
        <f t="shared" si="9"/>
        <v/>
      </c>
      <c r="J279" s="63" t="str">
        <f t="shared" si="10"/>
        <v/>
      </c>
    </row>
    <row r="280" spans="9:10">
      <c r="I280" s="62" t="str">
        <f t="shared" si="9"/>
        <v/>
      </c>
      <c r="J280" s="63" t="str">
        <f t="shared" si="10"/>
        <v/>
      </c>
    </row>
    <row r="281" spans="9:10">
      <c r="I281" s="62" t="str">
        <f t="shared" si="9"/>
        <v/>
      </c>
      <c r="J281" s="63" t="str">
        <f t="shared" si="10"/>
        <v/>
      </c>
    </row>
    <row r="282" spans="9:10">
      <c r="I282" s="62" t="str">
        <f t="shared" si="9"/>
        <v/>
      </c>
      <c r="J282" s="63" t="str">
        <f t="shared" si="10"/>
        <v/>
      </c>
    </row>
    <row r="283" spans="9:10">
      <c r="I283" s="62" t="str">
        <f t="shared" si="9"/>
        <v/>
      </c>
      <c r="J283" s="63" t="str">
        <f t="shared" si="10"/>
        <v/>
      </c>
    </row>
    <row r="284" spans="9:10">
      <c r="I284" s="62" t="str">
        <f t="shared" si="9"/>
        <v/>
      </c>
      <c r="J284" s="63" t="str">
        <f t="shared" si="10"/>
        <v/>
      </c>
    </row>
    <row r="285" spans="9:10">
      <c r="I285" s="62" t="str">
        <f t="shared" si="9"/>
        <v/>
      </c>
      <c r="J285" s="63" t="str">
        <f t="shared" si="10"/>
        <v/>
      </c>
    </row>
    <row r="286" spans="9:10">
      <c r="I286" s="62" t="str">
        <f t="shared" si="9"/>
        <v/>
      </c>
      <c r="J286" s="63" t="str">
        <f t="shared" si="10"/>
        <v/>
      </c>
    </row>
    <row r="287" spans="9:10">
      <c r="I287" s="62" t="str">
        <f t="shared" si="9"/>
        <v/>
      </c>
      <c r="J287" s="63" t="str">
        <f t="shared" si="10"/>
        <v/>
      </c>
    </row>
    <row r="288" spans="9:10">
      <c r="I288" s="62" t="str">
        <f t="shared" si="9"/>
        <v/>
      </c>
      <c r="J288" s="63" t="str">
        <f t="shared" si="10"/>
        <v/>
      </c>
    </row>
    <row r="289" spans="9:10">
      <c r="I289" s="62" t="str">
        <f t="shared" si="9"/>
        <v/>
      </c>
      <c r="J289" s="63" t="str">
        <f t="shared" si="10"/>
        <v/>
      </c>
    </row>
    <row r="290" spans="9:10">
      <c r="I290" s="62" t="str">
        <f t="shared" si="9"/>
        <v/>
      </c>
      <c r="J290" s="63" t="str">
        <f t="shared" si="10"/>
        <v/>
      </c>
    </row>
    <row r="291" spans="9:10">
      <c r="I291" s="62" t="str">
        <f t="shared" si="9"/>
        <v/>
      </c>
      <c r="J291" s="63" t="str">
        <f t="shared" si="10"/>
        <v/>
      </c>
    </row>
    <row r="292" spans="9:10">
      <c r="I292" s="62" t="str">
        <f t="shared" si="9"/>
        <v/>
      </c>
      <c r="J292" s="63" t="str">
        <f t="shared" si="10"/>
        <v/>
      </c>
    </row>
    <row r="293" spans="9:10">
      <c r="I293" s="62" t="str">
        <f t="shared" si="9"/>
        <v/>
      </c>
      <c r="J293" s="63" t="str">
        <f t="shared" si="10"/>
        <v/>
      </c>
    </row>
    <row r="294" spans="9:10">
      <c r="I294" s="62" t="str">
        <f t="shared" si="9"/>
        <v/>
      </c>
      <c r="J294" s="63" t="str">
        <f t="shared" si="10"/>
        <v/>
      </c>
    </row>
    <row r="295" spans="9:10">
      <c r="I295" s="62" t="str">
        <f t="shared" si="9"/>
        <v/>
      </c>
      <c r="J295" s="63" t="str">
        <f t="shared" si="10"/>
        <v/>
      </c>
    </row>
    <row r="296" spans="9:10">
      <c r="I296" s="62" t="str">
        <f t="shared" si="9"/>
        <v/>
      </c>
      <c r="J296" s="63" t="str">
        <f t="shared" si="10"/>
        <v/>
      </c>
    </row>
    <row r="297" spans="9:10">
      <c r="I297" s="62" t="str">
        <f t="shared" si="9"/>
        <v/>
      </c>
      <c r="J297" s="63" t="str">
        <f t="shared" si="10"/>
        <v/>
      </c>
    </row>
    <row r="298" spans="9:10">
      <c r="I298" s="62" t="str">
        <f t="shared" si="9"/>
        <v/>
      </c>
      <c r="J298" s="63" t="str">
        <f t="shared" si="10"/>
        <v/>
      </c>
    </row>
    <row r="299" spans="9:10">
      <c r="I299" s="62" t="str">
        <f t="shared" si="9"/>
        <v/>
      </c>
      <c r="J299" s="63" t="str">
        <f t="shared" si="10"/>
        <v/>
      </c>
    </row>
    <row r="300" spans="9:10">
      <c r="I300" s="62" t="str">
        <f t="shared" si="9"/>
        <v/>
      </c>
      <c r="J300" s="63" t="str">
        <f t="shared" si="10"/>
        <v/>
      </c>
    </row>
    <row r="301" spans="9:10">
      <c r="I301" s="62" t="str">
        <f t="shared" si="9"/>
        <v/>
      </c>
      <c r="J301" s="63" t="str">
        <f t="shared" si="10"/>
        <v/>
      </c>
    </row>
    <row r="302" spans="9:10">
      <c r="I302" s="62" t="str">
        <f t="shared" si="9"/>
        <v/>
      </c>
      <c r="J302" s="63" t="str">
        <f t="shared" si="10"/>
        <v/>
      </c>
    </row>
    <row r="303" spans="9:10">
      <c r="I303" s="62" t="str">
        <f t="shared" si="9"/>
        <v/>
      </c>
      <c r="J303" s="63" t="str">
        <f t="shared" si="10"/>
        <v/>
      </c>
    </row>
    <row r="304" spans="9:10">
      <c r="I304" s="62" t="str">
        <f t="shared" si="9"/>
        <v/>
      </c>
      <c r="J304" s="63" t="str">
        <f t="shared" si="10"/>
        <v/>
      </c>
    </row>
    <row r="305" spans="9:10">
      <c r="I305" s="62" t="str">
        <f t="shared" si="9"/>
        <v/>
      </c>
      <c r="J305" s="63" t="str">
        <f t="shared" si="10"/>
        <v/>
      </c>
    </row>
    <row r="306" spans="9:10">
      <c r="I306" s="62" t="str">
        <f t="shared" si="9"/>
        <v/>
      </c>
      <c r="J306" s="63" t="str">
        <f t="shared" si="10"/>
        <v/>
      </c>
    </row>
    <row r="307" spans="9:10">
      <c r="I307" s="62" t="str">
        <f t="shared" si="9"/>
        <v/>
      </c>
      <c r="J307" s="63" t="str">
        <f t="shared" si="10"/>
        <v/>
      </c>
    </row>
    <row r="308" spans="9:10">
      <c r="I308" s="62" t="str">
        <f t="shared" si="9"/>
        <v/>
      </c>
      <c r="J308" s="63" t="str">
        <f t="shared" si="10"/>
        <v/>
      </c>
    </row>
    <row r="309" spans="9:10">
      <c r="I309" s="62" t="str">
        <f t="shared" si="9"/>
        <v/>
      </c>
      <c r="J309" s="63" t="str">
        <f t="shared" si="10"/>
        <v/>
      </c>
    </row>
    <row r="310" spans="9:10">
      <c r="I310" s="62" t="str">
        <f t="shared" si="9"/>
        <v/>
      </c>
      <c r="J310" s="63" t="str">
        <f t="shared" si="10"/>
        <v/>
      </c>
    </row>
    <row r="311" spans="9:10">
      <c r="I311" s="62" t="str">
        <f t="shared" si="9"/>
        <v/>
      </c>
      <c r="J311" s="63" t="str">
        <f t="shared" si="10"/>
        <v/>
      </c>
    </row>
    <row r="312" spans="9:10">
      <c r="I312" s="62" t="str">
        <f t="shared" si="9"/>
        <v/>
      </c>
      <c r="J312" s="63" t="str">
        <f t="shared" si="10"/>
        <v/>
      </c>
    </row>
    <row r="313" spans="9:10">
      <c r="I313" s="62" t="str">
        <f t="shared" si="9"/>
        <v/>
      </c>
      <c r="J313" s="63" t="str">
        <f t="shared" si="10"/>
        <v/>
      </c>
    </row>
    <row r="314" spans="9:10">
      <c r="I314" s="62" t="str">
        <f t="shared" si="9"/>
        <v/>
      </c>
      <c r="J314" s="63" t="str">
        <f t="shared" si="10"/>
        <v/>
      </c>
    </row>
    <row r="315" spans="9:10">
      <c r="I315" s="62" t="str">
        <f t="shared" si="9"/>
        <v/>
      </c>
      <c r="J315" s="63" t="str">
        <f t="shared" si="10"/>
        <v/>
      </c>
    </row>
    <row r="316" spans="9:10">
      <c r="I316" s="62" t="str">
        <f t="shared" si="9"/>
        <v/>
      </c>
      <c r="J316" s="63" t="str">
        <f t="shared" si="10"/>
        <v/>
      </c>
    </row>
    <row r="317" spans="9:10">
      <c r="I317" s="62" t="str">
        <f t="shared" si="9"/>
        <v/>
      </c>
      <c r="J317" s="63" t="str">
        <f t="shared" si="10"/>
        <v/>
      </c>
    </row>
    <row r="318" spans="9:10">
      <c r="I318" s="62" t="str">
        <f t="shared" si="9"/>
        <v/>
      </c>
      <c r="J318" s="63" t="str">
        <f t="shared" si="10"/>
        <v/>
      </c>
    </row>
    <row r="319" spans="9:10">
      <c r="I319" s="62" t="str">
        <f t="shared" si="9"/>
        <v/>
      </c>
      <c r="J319" s="63" t="str">
        <f t="shared" si="10"/>
        <v/>
      </c>
    </row>
    <row r="320" spans="9:10">
      <c r="I320" s="62" t="str">
        <f t="shared" si="9"/>
        <v/>
      </c>
      <c r="J320" s="63" t="str">
        <f t="shared" si="10"/>
        <v/>
      </c>
    </row>
    <row r="321" spans="9:10">
      <c r="I321" s="62" t="str">
        <f t="shared" si="9"/>
        <v/>
      </c>
      <c r="J321" s="63" t="str">
        <f t="shared" si="10"/>
        <v/>
      </c>
    </row>
    <row r="322" spans="9:10">
      <c r="I322" s="62" t="str">
        <f t="shared" si="9"/>
        <v/>
      </c>
      <c r="J322" s="63" t="str">
        <f t="shared" si="10"/>
        <v/>
      </c>
    </row>
    <row r="323" spans="9:10">
      <c r="I323" s="62" t="str">
        <f t="shared" si="9"/>
        <v/>
      </c>
      <c r="J323" s="63" t="str">
        <f t="shared" si="10"/>
        <v/>
      </c>
    </row>
    <row r="324" spans="9:10">
      <c r="I324" s="62" t="str">
        <f t="shared" si="9"/>
        <v/>
      </c>
      <c r="J324" s="63" t="str">
        <f t="shared" si="10"/>
        <v/>
      </c>
    </row>
    <row r="325" spans="9:10">
      <c r="I325" s="62" t="str">
        <f t="shared" si="9"/>
        <v/>
      </c>
      <c r="J325" s="63" t="str">
        <f t="shared" si="10"/>
        <v/>
      </c>
    </row>
    <row r="326" spans="9:10">
      <c r="I326" s="62" t="str">
        <f t="shared" si="9"/>
        <v/>
      </c>
      <c r="J326" s="63" t="str">
        <f t="shared" si="10"/>
        <v/>
      </c>
    </row>
    <row r="327" spans="9:10">
      <c r="I327" s="62" t="str">
        <f t="shared" si="9"/>
        <v/>
      </c>
      <c r="J327" s="63" t="str">
        <f t="shared" si="10"/>
        <v/>
      </c>
    </row>
    <row r="328" spans="9:10">
      <c r="I328" s="62" t="str">
        <f t="shared" si="9"/>
        <v/>
      </c>
      <c r="J328" s="63" t="str">
        <f t="shared" si="10"/>
        <v/>
      </c>
    </row>
    <row r="329" spans="9:10">
      <c r="I329" s="62" t="str">
        <f t="shared" si="9"/>
        <v/>
      </c>
      <c r="J329" s="63" t="str">
        <f t="shared" si="10"/>
        <v/>
      </c>
    </row>
    <row r="330" spans="9:10">
      <c r="I330" s="62" t="str">
        <f t="shared" si="9"/>
        <v/>
      </c>
      <c r="J330" s="63" t="str">
        <f t="shared" si="10"/>
        <v/>
      </c>
    </row>
    <row r="331" spans="9:10">
      <c r="I331" s="62" t="str">
        <f t="shared" si="9"/>
        <v/>
      </c>
      <c r="J331" s="63" t="str">
        <f t="shared" si="10"/>
        <v/>
      </c>
    </row>
    <row r="332" spans="9:10">
      <c r="I332" s="62" t="str">
        <f t="shared" ref="I332:I395" si="11">IF(B332="","",IF(B332="Total",I330,IF(B330="Total",I330, IF(ISNUMBER(A332),A332,I331))))</f>
        <v/>
      </c>
      <c r="J332" s="63" t="str">
        <f t="shared" si="10"/>
        <v/>
      </c>
    </row>
    <row r="333" spans="9:10">
      <c r="I333" s="62" t="str">
        <f t="shared" si="11"/>
        <v/>
      </c>
      <c r="J333" s="63" t="str">
        <f t="shared" si="10"/>
        <v/>
      </c>
    </row>
    <row r="334" spans="9:10">
      <c r="I334" s="62" t="str">
        <f t="shared" si="11"/>
        <v/>
      </c>
      <c r="J334" s="63" t="str">
        <f t="shared" si="10"/>
        <v/>
      </c>
    </row>
    <row r="335" spans="9:10">
      <c r="I335" s="62" t="str">
        <f t="shared" si="11"/>
        <v/>
      </c>
      <c r="J335" s="63" t="str">
        <f t="shared" ref="J335:J398" si="12">IF(B335="","",IF(B335="Total",J333,IF(B333="Total",J333,IF(A335="",J334,IF(ISNUMBER(A334),B334,IF(ISNUMBER(A335),B335,J334))))))</f>
        <v/>
      </c>
    </row>
    <row r="336" spans="9:10">
      <c r="I336" s="62" t="str">
        <f t="shared" si="11"/>
        <v/>
      </c>
      <c r="J336" s="63" t="str">
        <f t="shared" si="12"/>
        <v/>
      </c>
    </row>
    <row r="337" spans="9:10">
      <c r="I337" s="62" t="str">
        <f t="shared" si="11"/>
        <v/>
      </c>
      <c r="J337" s="63" t="str">
        <f t="shared" si="12"/>
        <v/>
      </c>
    </row>
    <row r="338" spans="9:10">
      <c r="I338" s="62" t="str">
        <f t="shared" si="11"/>
        <v/>
      </c>
      <c r="J338" s="63" t="str">
        <f t="shared" si="12"/>
        <v/>
      </c>
    </row>
    <row r="339" spans="9:10">
      <c r="I339" s="62" t="str">
        <f t="shared" si="11"/>
        <v/>
      </c>
      <c r="J339" s="63" t="str">
        <f t="shared" si="12"/>
        <v/>
      </c>
    </row>
    <row r="340" spans="9:10">
      <c r="I340" s="62" t="str">
        <f t="shared" si="11"/>
        <v/>
      </c>
      <c r="J340" s="63" t="str">
        <f t="shared" si="12"/>
        <v/>
      </c>
    </row>
    <row r="341" spans="9:10">
      <c r="I341" s="62" t="str">
        <f t="shared" si="11"/>
        <v/>
      </c>
      <c r="J341" s="63" t="str">
        <f t="shared" si="12"/>
        <v/>
      </c>
    </row>
    <row r="342" spans="9:10">
      <c r="I342" s="62" t="str">
        <f t="shared" si="11"/>
        <v/>
      </c>
      <c r="J342" s="63" t="str">
        <f t="shared" si="12"/>
        <v/>
      </c>
    </row>
    <row r="343" spans="9:10">
      <c r="I343" s="62" t="str">
        <f t="shared" si="11"/>
        <v/>
      </c>
      <c r="J343" s="63" t="str">
        <f t="shared" si="12"/>
        <v/>
      </c>
    </row>
    <row r="344" spans="9:10">
      <c r="I344" s="62" t="str">
        <f t="shared" si="11"/>
        <v/>
      </c>
      <c r="J344" s="63" t="str">
        <f t="shared" si="12"/>
        <v/>
      </c>
    </row>
    <row r="345" spans="9:10">
      <c r="I345" s="62" t="str">
        <f t="shared" si="11"/>
        <v/>
      </c>
      <c r="J345" s="63" t="str">
        <f t="shared" si="12"/>
        <v/>
      </c>
    </row>
    <row r="346" spans="9:10">
      <c r="I346" s="62" t="str">
        <f t="shared" si="11"/>
        <v/>
      </c>
      <c r="J346" s="63" t="str">
        <f t="shared" si="12"/>
        <v/>
      </c>
    </row>
    <row r="347" spans="9:10">
      <c r="I347" s="62" t="str">
        <f t="shared" si="11"/>
        <v/>
      </c>
      <c r="J347" s="63" t="str">
        <f t="shared" si="12"/>
        <v/>
      </c>
    </row>
    <row r="348" spans="9:10">
      <c r="I348" s="62" t="str">
        <f t="shared" si="11"/>
        <v/>
      </c>
      <c r="J348" s="63" t="str">
        <f t="shared" si="12"/>
        <v/>
      </c>
    </row>
    <row r="349" spans="9:10">
      <c r="I349" s="62" t="str">
        <f t="shared" si="11"/>
        <v/>
      </c>
      <c r="J349" s="63" t="str">
        <f t="shared" si="12"/>
        <v/>
      </c>
    </row>
    <row r="350" spans="9:10">
      <c r="I350" s="62" t="str">
        <f t="shared" si="11"/>
        <v/>
      </c>
      <c r="J350" s="63" t="str">
        <f t="shared" si="12"/>
        <v/>
      </c>
    </row>
    <row r="351" spans="9:10">
      <c r="I351" s="62" t="str">
        <f t="shared" si="11"/>
        <v/>
      </c>
      <c r="J351" s="63" t="str">
        <f t="shared" si="12"/>
        <v/>
      </c>
    </row>
    <row r="352" spans="9:10">
      <c r="I352" s="62" t="str">
        <f t="shared" si="11"/>
        <v/>
      </c>
      <c r="J352" s="63" t="str">
        <f t="shared" si="12"/>
        <v/>
      </c>
    </row>
    <row r="353" spans="9:10">
      <c r="I353" s="62" t="str">
        <f t="shared" si="11"/>
        <v/>
      </c>
      <c r="J353" s="63" t="str">
        <f t="shared" si="12"/>
        <v/>
      </c>
    </row>
    <row r="354" spans="9:10">
      <c r="I354" s="62" t="str">
        <f t="shared" si="11"/>
        <v/>
      </c>
      <c r="J354" s="63" t="str">
        <f t="shared" si="12"/>
        <v/>
      </c>
    </row>
    <row r="355" spans="9:10">
      <c r="I355" s="62" t="str">
        <f t="shared" si="11"/>
        <v/>
      </c>
      <c r="J355" s="63" t="str">
        <f t="shared" si="12"/>
        <v/>
      </c>
    </row>
    <row r="356" spans="9:10">
      <c r="I356" s="62" t="str">
        <f t="shared" si="11"/>
        <v/>
      </c>
      <c r="J356" s="63" t="str">
        <f t="shared" si="12"/>
        <v/>
      </c>
    </row>
    <row r="357" spans="9:10">
      <c r="I357" s="62" t="str">
        <f t="shared" si="11"/>
        <v/>
      </c>
      <c r="J357" s="63" t="str">
        <f t="shared" si="12"/>
        <v/>
      </c>
    </row>
    <row r="358" spans="9:10">
      <c r="I358" s="62" t="str">
        <f t="shared" si="11"/>
        <v/>
      </c>
      <c r="J358" s="63" t="str">
        <f t="shared" si="12"/>
        <v/>
      </c>
    </row>
    <row r="359" spans="9:10">
      <c r="I359" s="62" t="str">
        <f t="shared" si="11"/>
        <v/>
      </c>
      <c r="J359" s="63" t="str">
        <f t="shared" si="12"/>
        <v/>
      </c>
    </row>
    <row r="360" spans="9:10">
      <c r="I360" s="62" t="str">
        <f t="shared" si="11"/>
        <v/>
      </c>
      <c r="J360" s="63" t="str">
        <f t="shared" si="12"/>
        <v/>
      </c>
    </row>
    <row r="361" spans="9:10">
      <c r="I361" s="62" t="str">
        <f t="shared" si="11"/>
        <v/>
      </c>
      <c r="J361" s="63" t="str">
        <f t="shared" si="12"/>
        <v/>
      </c>
    </row>
    <row r="362" spans="9:10">
      <c r="I362" s="62" t="str">
        <f t="shared" si="11"/>
        <v/>
      </c>
      <c r="J362" s="63" t="str">
        <f t="shared" si="12"/>
        <v/>
      </c>
    </row>
    <row r="363" spans="9:10">
      <c r="I363" s="62" t="str">
        <f t="shared" si="11"/>
        <v/>
      </c>
      <c r="J363" s="63" t="str">
        <f t="shared" si="12"/>
        <v/>
      </c>
    </row>
    <row r="364" spans="9:10">
      <c r="I364" s="62" t="str">
        <f t="shared" si="11"/>
        <v/>
      </c>
      <c r="J364" s="63" t="str">
        <f t="shared" si="12"/>
        <v/>
      </c>
    </row>
    <row r="365" spans="9:10">
      <c r="I365" s="62" t="str">
        <f t="shared" si="11"/>
        <v/>
      </c>
      <c r="J365" s="63" t="str">
        <f t="shared" si="12"/>
        <v/>
      </c>
    </row>
    <row r="366" spans="9:10">
      <c r="I366" s="62" t="str">
        <f t="shared" si="11"/>
        <v/>
      </c>
      <c r="J366" s="63" t="str">
        <f t="shared" si="12"/>
        <v/>
      </c>
    </row>
    <row r="367" spans="9:10">
      <c r="I367" s="62" t="str">
        <f t="shared" si="11"/>
        <v/>
      </c>
      <c r="J367" s="63" t="str">
        <f t="shared" si="12"/>
        <v/>
      </c>
    </row>
    <row r="368" spans="9:10">
      <c r="I368" s="62" t="str">
        <f t="shared" si="11"/>
        <v/>
      </c>
      <c r="J368" s="63" t="str">
        <f t="shared" si="12"/>
        <v/>
      </c>
    </row>
    <row r="369" spans="9:10">
      <c r="I369" s="62" t="str">
        <f t="shared" si="11"/>
        <v/>
      </c>
      <c r="J369" s="63" t="str">
        <f t="shared" si="12"/>
        <v/>
      </c>
    </row>
    <row r="370" spans="9:10">
      <c r="I370" s="62" t="str">
        <f t="shared" si="11"/>
        <v/>
      </c>
      <c r="J370" s="63" t="str">
        <f t="shared" si="12"/>
        <v/>
      </c>
    </row>
    <row r="371" spans="9:10">
      <c r="I371" s="62" t="str">
        <f t="shared" si="11"/>
        <v/>
      </c>
      <c r="J371" s="63" t="str">
        <f t="shared" si="12"/>
        <v/>
      </c>
    </row>
    <row r="372" spans="9:10">
      <c r="I372" s="62" t="str">
        <f t="shared" si="11"/>
        <v/>
      </c>
      <c r="J372" s="63" t="str">
        <f t="shared" si="12"/>
        <v/>
      </c>
    </row>
    <row r="373" spans="9:10">
      <c r="I373" s="62" t="str">
        <f t="shared" si="11"/>
        <v/>
      </c>
      <c r="J373" s="63" t="str">
        <f t="shared" si="12"/>
        <v/>
      </c>
    </row>
    <row r="374" spans="9:10">
      <c r="I374" s="62" t="str">
        <f t="shared" si="11"/>
        <v/>
      </c>
      <c r="J374" s="63" t="str">
        <f t="shared" si="12"/>
        <v/>
      </c>
    </row>
    <row r="375" spans="9:10">
      <c r="I375" s="62" t="str">
        <f t="shared" si="11"/>
        <v/>
      </c>
      <c r="J375" s="63" t="str">
        <f t="shared" si="12"/>
        <v/>
      </c>
    </row>
    <row r="376" spans="9:10">
      <c r="I376" s="62" t="str">
        <f t="shared" si="11"/>
        <v/>
      </c>
      <c r="J376" s="63" t="str">
        <f t="shared" si="12"/>
        <v/>
      </c>
    </row>
    <row r="377" spans="9:10">
      <c r="I377" s="62" t="str">
        <f t="shared" si="11"/>
        <v/>
      </c>
      <c r="J377" s="63" t="str">
        <f t="shared" si="12"/>
        <v/>
      </c>
    </row>
    <row r="378" spans="9:10">
      <c r="I378" s="62" t="str">
        <f t="shared" si="11"/>
        <v/>
      </c>
      <c r="J378" s="63" t="str">
        <f t="shared" si="12"/>
        <v/>
      </c>
    </row>
    <row r="379" spans="9:10">
      <c r="I379" s="62" t="str">
        <f t="shared" si="11"/>
        <v/>
      </c>
      <c r="J379" s="63" t="str">
        <f t="shared" si="12"/>
        <v/>
      </c>
    </row>
    <row r="380" spans="9:10">
      <c r="I380" s="62" t="str">
        <f t="shared" si="11"/>
        <v/>
      </c>
      <c r="J380" s="63" t="str">
        <f t="shared" si="12"/>
        <v/>
      </c>
    </row>
    <row r="381" spans="9:10">
      <c r="I381" s="62" t="str">
        <f t="shared" si="11"/>
        <v/>
      </c>
      <c r="J381" s="63" t="str">
        <f t="shared" si="12"/>
        <v/>
      </c>
    </row>
    <row r="382" spans="9:10">
      <c r="I382" s="62" t="str">
        <f t="shared" si="11"/>
        <v/>
      </c>
      <c r="J382" s="63" t="str">
        <f t="shared" si="12"/>
        <v/>
      </c>
    </row>
    <row r="383" spans="9:10">
      <c r="I383" s="62" t="str">
        <f t="shared" si="11"/>
        <v/>
      </c>
      <c r="J383" s="63" t="str">
        <f t="shared" si="12"/>
        <v/>
      </c>
    </row>
    <row r="384" spans="9:10">
      <c r="I384" s="62" t="str">
        <f t="shared" si="11"/>
        <v/>
      </c>
      <c r="J384" s="63" t="str">
        <f t="shared" si="12"/>
        <v/>
      </c>
    </row>
    <row r="385" spans="9:10">
      <c r="I385" s="62" t="str">
        <f t="shared" si="11"/>
        <v/>
      </c>
      <c r="J385" s="63" t="str">
        <f t="shared" si="12"/>
        <v/>
      </c>
    </row>
    <row r="386" spans="9:10">
      <c r="I386" s="62" t="str">
        <f t="shared" si="11"/>
        <v/>
      </c>
      <c r="J386" s="63" t="str">
        <f t="shared" si="12"/>
        <v/>
      </c>
    </row>
    <row r="387" spans="9:10">
      <c r="I387" s="62" t="str">
        <f t="shared" si="11"/>
        <v/>
      </c>
      <c r="J387" s="63" t="str">
        <f t="shared" si="12"/>
        <v/>
      </c>
    </row>
    <row r="388" spans="9:10">
      <c r="I388" s="62" t="str">
        <f t="shared" si="11"/>
        <v/>
      </c>
      <c r="J388" s="63" t="str">
        <f t="shared" si="12"/>
        <v/>
      </c>
    </row>
    <row r="389" spans="9:10">
      <c r="I389" s="62" t="str">
        <f t="shared" si="11"/>
        <v/>
      </c>
      <c r="J389" s="63" t="str">
        <f t="shared" si="12"/>
        <v/>
      </c>
    </row>
    <row r="390" spans="9:10">
      <c r="I390" s="62" t="str">
        <f t="shared" si="11"/>
        <v/>
      </c>
      <c r="J390" s="63" t="str">
        <f t="shared" si="12"/>
        <v/>
      </c>
    </row>
    <row r="391" spans="9:10">
      <c r="I391" s="62" t="str">
        <f t="shared" si="11"/>
        <v/>
      </c>
      <c r="J391" s="63" t="str">
        <f t="shared" si="12"/>
        <v/>
      </c>
    </row>
    <row r="392" spans="9:10">
      <c r="I392" s="62" t="str">
        <f t="shared" si="11"/>
        <v/>
      </c>
      <c r="J392" s="63" t="str">
        <f t="shared" si="12"/>
        <v/>
      </c>
    </row>
    <row r="393" spans="9:10">
      <c r="I393" s="62" t="str">
        <f t="shared" si="11"/>
        <v/>
      </c>
      <c r="J393" s="63" t="str">
        <f t="shared" si="12"/>
        <v/>
      </c>
    </row>
    <row r="394" spans="9:10">
      <c r="I394" s="62" t="str">
        <f t="shared" si="11"/>
        <v/>
      </c>
      <c r="J394" s="63" t="str">
        <f t="shared" si="12"/>
        <v/>
      </c>
    </row>
    <row r="395" spans="9:10">
      <c r="I395" s="62" t="str">
        <f t="shared" si="11"/>
        <v/>
      </c>
      <c r="J395" s="63" t="str">
        <f t="shared" si="12"/>
        <v/>
      </c>
    </row>
    <row r="396" spans="9:10">
      <c r="I396" s="62" t="str">
        <f t="shared" ref="I396:I459" si="13">IF(B396="","",IF(B396="Total",I394,IF(B394="Total",I394, IF(ISNUMBER(A396),A396,I395))))</f>
        <v/>
      </c>
      <c r="J396" s="63" t="str">
        <f t="shared" si="12"/>
        <v/>
      </c>
    </row>
    <row r="397" spans="9:10">
      <c r="I397" s="62" t="str">
        <f t="shared" si="13"/>
        <v/>
      </c>
      <c r="J397" s="63" t="str">
        <f t="shared" si="12"/>
        <v/>
      </c>
    </row>
    <row r="398" spans="9:10">
      <c r="I398" s="62" t="str">
        <f t="shared" si="13"/>
        <v/>
      </c>
      <c r="J398" s="63" t="str">
        <f t="shared" si="12"/>
        <v/>
      </c>
    </row>
    <row r="399" spans="9:10">
      <c r="I399" s="62" t="str">
        <f t="shared" si="13"/>
        <v/>
      </c>
      <c r="J399" s="63" t="str">
        <f t="shared" ref="J399:J462" si="14">IF(B399="","",IF(B399="Total",J397,IF(B397="Total",J397,IF(A399="",J398,IF(ISNUMBER(A398),B398,IF(ISNUMBER(A399),B399,J398))))))</f>
        <v/>
      </c>
    </row>
    <row r="400" spans="9:10">
      <c r="I400" s="62" t="str">
        <f t="shared" si="13"/>
        <v/>
      </c>
      <c r="J400" s="63" t="str">
        <f t="shared" si="14"/>
        <v/>
      </c>
    </row>
    <row r="401" spans="9:10">
      <c r="I401" s="62" t="str">
        <f t="shared" si="13"/>
        <v/>
      </c>
      <c r="J401" s="63" t="str">
        <f t="shared" si="14"/>
        <v/>
      </c>
    </row>
    <row r="402" spans="9:10">
      <c r="I402" s="62" t="str">
        <f t="shared" si="13"/>
        <v/>
      </c>
      <c r="J402" s="63" t="str">
        <f t="shared" si="14"/>
        <v/>
      </c>
    </row>
    <row r="403" spans="9:10">
      <c r="I403" s="62" t="str">
        <f t="shared" si="13"/>
        <v/>
      </c>
      <c r="J403" s="63" t="str">
        <f t="shared" si="14"/>
        <v/>
      </c>
    </row>
    <row r="404" spans="9:10">
      <c r="I404" s="62" t="str">
        <f t="shared" si="13"/>
        <v/>
      </c>
      <c r="J404" s="63" t="str">
        <f t="shared" si="14"/>
        <v/>
      </c>
    </row>
    <row r="405" spans="9:10">
      <c r="I405" s="62" t="str">
        <f t="shared" si="13"/>
        <v/>
      </c>
      <c r="J405" s="63" t="str">
        <f t="shared" si="14"/>
        <v/>
      </c>
    </row>
    <row r="406" spans="9:10">
      <c r="I406" s="62" t="str">
        <f t="shared" si="13"/>
        <v/>
      </c>
      <c r="J406" s="63" t="str">
        <f t="shared" si="14"/>
        <v/>
      </c>
    </row>
    <row r="407" spans="9:10">
      <c r="I407" s="62" t="str">
        <f t="shared" si="13"/>
        <v/>
      </c>
      <c r="J407" s="63" t="str">
        <f t="shared" si="14"/>
        <v/>
      </c>
    </row>
    <row r="408" spans="9:10">
      <c r="I408" s="62" t="str">
        <f t="shared" si="13"/>
        <v/>
      </c>
      <c r="J408" s="63" t="str">
        <f t="shared" si="14"/>
        <v/>
      </c>
    </row>
    <row r="409" spans="9:10">
      <c r="I409" s="62" t="str">
        <f t="shared" si="13"/>
        <v/>
      </c>
      <c r="J409" s="63" t="str">
        <f t="shared" si="14"/>
        <v/>
      </c>
    </row>
    <row r="410" spans="9:10">
      <c r="I410" s="62" t="str">
        <f t="shared" si="13"/>
        <v/>
      </c>
      <c r="J410" s="63" t="str">
        <f t="shared" si="14"/>
        <v/>
      </c>
    </row>
    <row r="411" spans="9:10">
      <c r="I411" s="62" t="str">
        <f t="shared" si="13"/>
        <v/>
      </c>
      <c r="J411" s="63" t="str">
        <f t="shared" si="14"/>
        <v/>
      </c>
    </row>
    <row r="412" spans="9:10">
      <c r="I412" s="62" t="str">
        <f t="shared" si="13"/>
        <v/>
      </c>
      <c r="J412" s="63" t="str">
        <f t="shared" si="14"/>
        <v/>
      </c>
    </row>
    <row r="413" spans="9:10">
      <c r="I413" s="62" t="str">
        <f t="shared" si="13"/>
        <v/>
      </c>
      <c r="J413" s="63" t="str">
        <f t="shared" si="14"/>
        <v/>
      </c>
    </row>
    <row r="414" spans="9:10">
      <c r="I414" s="62" t="str">
        <f t="shared" si="13"/>
        <v/>
      </c>
      <c r="J414" s="63" t="str">
        <f t="shared" si="14"/>
        <v/>
      </c>
    </row>
    <row r="415" spans="9:10">
      <c r="I415" s="62" t="str">
        <f t="shared" si="13"/>
        <v/>
      </c>
      <c r="J415" s="63" t="str">
        <f t="shared" si="14"/>
        <v/>
      </c>
    </row>
    <row r="416" spans="9:10">
      <c r="I416" s="62" t="str">
        <f t="shared" si="13"/>
        <v/>
      </c>
      <c r="J416" s="63" t="str">
        <f t="shared" si="14"/>
        <v/>
      </c>
    </row>
    <row r="417" spans="9:10">
      <c r="I417" s="62" t="str">
        <f t="shared" si="13"/>
        <v/>
      </c>
      <c r="J417" s="63" t="str">
        <f t="shared" si="14"/>
        <v/>
      </c>
    </row>
    <row r="418" spans="9:10">
      <c r="I418" s="62" t="str">
        <f t="shared" si="13"/>
        <v/>
      </c>
      <c r="J418" s="63" t="str">
        <f t="shared" si="14"/>
        <v/>
      </c>
    </row>
    <row r="419" spans="9:10">
      <c r="I419" s="62" t="str">
        <f t="shared" si="13"/>
        <v/>
      </c>
      <c r="J419" s="63" t="str">
        <f t="shared" si="14"/>
        <v/>
      </c>
    </row>
    <row r="420" spans="9:10">
      <c r="I420" s="62" t="str">
        <f t="shared" si="13"/>
        <v/>
      </c>
      <c r="J420" s="63" t="str">
        <f t="shared" si="14"/>
        <v/>
      </c>
    </row>
    <row r="421" spans="9:10">
      <c r="I421" s="62" t="str">
        <f t="shared" si="13"/>
        <v/>
      </c>
      <c r="J421" s="63" t="str">
        <f t="shared" si="14"/>
        <v/>
      </c>
    </row>
    <row r="422" spans="9:10">
      <c r="I422" s="62" t="str">
        <f t="shared" si="13"/>
        <v/>
      </c>
      <c r="J422" s="63" t="str">
        <f t="shared" si="14"/>
        <v/>
      </c>
    </row>
    <row r="423" spans="9:10">
      <c r="I423" s="62" t="str">
        <f t="shared" si="13"/>
        <v/>
      </c>
      <c r="J423" s="63" t="str">
        <f t="shared" si="14"/>
        <v/>
      </c>
    </row>
    <row r="424" spans="9:10">
      <c r="I424" s="62" t="str">
        <f t="shared" si="13"/>
        <v/>
      </c>
      <c r="J424" s="63" t="str">
        <f t="shared" si="14"/>
        <v/>
      </c>
    </row>
    <row r="425" spans="9:10">
      <c r="I425" s="62" t="str">
        <f t="shared" si="13"/>
        <v/>
      </c>
      <c r="J425" s="63" t="str">
        <f t="shared" si="14"/>
        <v/>
      </c>
    </row>
    <row r="426" spans="9:10">
      <c r="I426" s="62" t="str">
        <f t="shared" si="13"/>
        <v/>
      </c>
      <c r="J426" s="63" t="str">
        <f t="shared" si="14"/>
        <v/>
      </c>
    </row>
    <row r="427" spans="9:10">
      <c r="I427" s="62" t="str">
        <f t="shared" si="13"/>
        <v/>
      </c>
      <c r="J427" s="63" t="str">
        <f t="shared" si="14"/>
        <v/>
      </c>
    </row>
    <row r="428" spans="9:10">
      <c r="I428" s="62" t="str">
        <f t="shared" si="13"/>
        <v/>
      </c>
      <c r="J428" s="63" t="str">
        <f t="shared" si="14"/>
        <v/>
      </c>
    </row>
    <row r="429" spans="9:10">
      <c r="I429" s="62" t="str">
        <f t="shared" si="13"/>
        <v/>
      </c>
      <c r="J429" s="63" t="str">
        <f t="shared" si="14"/>
        <v/>
      </c>
    </row>
    <row r="430" spans="9:10">
      <c r="I430" s="62" t="str">
        <f t="shared" si="13"/>
        <v/>
      </c>
      <c r="J430" s="63" t="str">
        <f t="shared" si="14"/>
        <v/>
      </c>
    </row>
    <row r="431" spans="9:10">
      <c r="I431" s="62" t="str">
        <f t="shared" si="13"/>
        <v/>
      </c>
      <c r="J431" s="63" t="str">
        <f t="shared" si="14"/>
        <v/>
      </c>
    </row>
    <row r="432" spans="9:10">
      <c r="I432" s="62" t="str">
        <f t="shared" si="13"/>
        <v/>
      </c>
      <c r="J432" s="63" t="str">
        <f t="shared" si="14"/>
        <v/>
      </c>
    </row>
    <row r="433" spans="9:10">
      <c r="I433" s="62" t="str">
        <f t="shared" si="13"/>
        <v/>
      </c>
      <c r="J433" s="63" t="str">
        <f t="shared" si="14"/>
        <v/>
      </c>
    </row>
    <row r="434" spans="9:10">
      <c r="I434" s="62" t="str">
        <f t="shared" si="13"/>
        <v/>
      </c>
      <c r="J434" s="63" t="str">
        <f t="shared" si="14"/>
        <v/>
      </c>
    </row>
    <row r="435" spans="9:10">
      <c r="I435" s="62" t="str">
        <f t="shared" si="13"/>
        <v/>
      </c>
      <c r="J435" s="63" t="str">
        <f t="shared" si="14"/>
        <v/>
      </c>
    </row>
    <row r="436" spans="9:10">
      <c r="I436" s="62" t="str">
        <f t="shared" si="13"/>
        <v/>
      </c>
      <c r="J436" s="63" t="str">
        <f t="shared" si="14"/>
        <v/>
      </c>
    </row>
    <row r="437" spans="9:10">
      <c r="I437" s="62" t="str">
        <f t="shared" si="13"/>
        <v/>
      </c>
      <c r="J437" s="63" t="str">
        <f t="shared" si="14"/>
        <v/>
      </c>
    </row>
    <row r="438" spans="9:10">
      <c r="I438" s="62" t="str">
        <f t="shared" si="13"/>
        <v/>
      </c>
      <c r="J438" s="63" t="str">
        <f t="shared" si="14"/>
        <v/>
      </c>
    </row>
    <row r="439" spans="9:10">
      <c r="I439" s="62" t="str">
        <f t="shared" si="13"/>
        <v/>
      </c>
      <c r="J439" s="63" t="str">
        <f t="shared" si="14"/>
        <v/>
      </c>
    </row>
    <row r="440" spans="9:10">
      <c r="I440" s="62" t="str">
        <f t="shared" si="13"/>
        <v/>
      </c>
      <c r="J440" s="63" t="str">
        <f t="shared" si="14"/>
        <v/>
      </c>
    </row>
    <row r="441" spans="9:10">
      <c r="I441" s="62" t="str">
        <f t="shared" si="13"/>
        <v/>
      </c>
      <c r="J441" s="63" t="str">
        <f t="shared" si="14"/>
        <v/>
      </c>
    </row>
    <row r="442" spans="9:10">
      <c r="I442" s="62" t="str">
        <f t="shared" si="13"/>
        <v/>
      </c>
      <c r="J442" s="63" t="str">
        <f t="shared" si="14"/>
        <v/>
      </c>
    </row>
    <row r="443" spans="9:10">
      <c r="I443" s="62" t="str">
        <f t="shared" si="13"/>
        <v/>
      </c>
      <c r="J443" s="63" t="str">
        <f t="shared" si="14"/>
        <v/>
      </c>
    </row>
    <row r="444" spans="9:10">
      <c r="I444" s="62" t="str">
        <f t="shared" si="13"/>
        <v/>
      </c>
      <c r="J444" s="63" t="str">
        <f t="shared" si="14"/>
        <v/>
      </c>
    </row>
    <row r="445" spans="9:10">
      <c r="I445" s="62" t="str">
        <f t="shared" si="13"/>
        <v/>
      </c>
      <c r="J445" s="63" t="str">
        <f t="shared" si="14"/>
        <v/>
      </c>
    </row>
    <row r="446" spans="9:10">
      <c r="I446" s="62" t="str">
        <f t="shared" si="13"/>
        <v/>
      </c>
      <c r="J446" s="63" t="str">
        <f t="shared" si="14"/>
        <v/>
      </c>
    </row>
    <row r="447" spans="9:10">
      <c r="I447" s="62" t="str">
        <f t="shared" si="13"/>
        <v/>
      </c>
      <c r="J447" s="63" t="str">
        <f t="shared" si="14"/>
        <v/>
      </c>
    </row>
    <row r="448" spans="9:10">
      <c r="I448" s="62" t="str">
        <f t="shared" si="13"/>
        <v/>
      </c>
      <c r="J448" s="63" t="str">
        <f t="shared" si="14"/>
        <v/>
      </c>
    </row>
    <row r="449" spans="9:10">
      <c r="I449" s="62" t="str">
        <f t="shared" si="13"/>
        <v/>
      </c>
      <c r="J449" s="63" t="str">
        <f t="shared" si="14"/>
        <v/>
      </c>
    </row>
    <row r="450" spans="9:10">
      <c r="I450" s="62" t="str">
        <f t="shared" si="13"/>
        <v/>
      </c>
      <c r="J450" s="63" t="str">
        <f t="shared" si="14"/>
        <v/>
      </c>
    </row>
    <row r="451" spans="9:10">
      <c r="I451" s="62" t="str">
        <f t="shared" si="13"/>
        <v/>
      </c>
      <c r="J451" s="63" t="str">
        <f t="shared" si="14"/>
        <v/>
      </c>
    </row>
    <row r="452" spans="9:10">
      <c r="I452" s="62" t="str">
        <f t="shared" si="13"/>
        <v/>
      </c>
      <c r="J452" s="63" t="str">
        <f t="shared" si="14"/>
        <v/>
      </c>
    </row>
    <row r="453" spans="9:10">
      <c r="I453" s="62" t="str">
        <f t="shared" si="13"/>
        <v/>
      </c>
      <c r="J453" s="63" t="str">
        <f t="shared" si="14"/>
        <v/>
      </c>
    </row>
    <row r="454" spans="9:10">
      <c r="I454" s="62" t="str">
        <f t="shared" si="13"/>
        <v/>
      </c>
      <c r="J454" s="63" t="str">
        <f t="shared" si="14"/>
        <v/>
      </c>
    </row>
    <row r="455" spans="9:10">
      <c r="I455" s="62" t="str">
        <f t="shared" si="13"/>
        <v/>
      </c>
      <c r="J455" s="63" t="str">
        <f t="shared" si="14"/>
        <v/>
      </c>
    </row>
    <row r="456" spans="9:10">
      <c r="I456" s="62" t="str">
        <f t="shared" si="13"/>
        <v/>
      </c>
      <c r="J456" s="63" t="str">
        <f t="shared" si="14"/>
        <v/>
      </c>
    </row>
    <row r="457" spans="9:10">
      <c r="I457" s="62" t="str">
        <f t="shared" si="13"/>
        <v/>
      </c>
      <c r="J457" s="63" t="str">
        <f t="shared" si="14"/>
        <v/>
      </c>
    </row>
    <row r="458" spans="9:10">
      <c r="I458" s="62" t="str">
        <f t="shared" si="13"/>
        <v/>
      </c>
      <c r="J458" s="63" t="str">
        <f t="shared" si="14"/>
        <v/>
      </c>
    </row>
    <row r="459" spans="9:10">
      <c r="I459" s="62" t="str">
        <f t="shared" si="13"/>
        <v/>
      </c>
      <c r="J459" s="63" t="str">
        <f t="shared" si="14"/>
        <v/>
      </c>
    </row>
    <row r="460" spans="9:10">
      <c r="I460" s="62" t="str">
        <f t="shared" ref="I460:I523" si="15">IF(B460="","",IF(B460="Total",I458,IF(B458="Total",I458, IF(ISNUMBER(A460),A460,I459))))</f>
        <v/>
      </c>
      <c r="J460" s="63" t="str">
        <f t="shared" si="14"/>
        <v/>
      </c>
    </row>
    <row r="461" spans="9:10">
      <c r="I461" s="62" t="str">
        <f t="shared" si="15"/>
        <v/>
      </c>
      <c r="J461" s="63" t="str">
        <f t="shared" si="14"/>
        <v/>
      </c>
    </row>
    <row r="462" spans="9:10">
      <c r="I462" s="62" t="str">
        <f t="shared" si="15"/>
        <v/>
      </c>
      <c r="J462" s="63" t="str">
        <f t="shared" si="14"/>
        <v/>
      </c>
    </row>
    <row r="463" spans="9:10">
      <c r="I463" s="62" t="str">
        <f t="shared" si="15"/>
        <v/>
      </c>
      <c r="J463" s="63" t="str">
        <f t="shared" ref="J463:J526" si="16">IF(B463="","",IF(B463="Total",J461,IF(B461="Total",J461,IF(A463="",J462,IF(ISNUMBER(A462),B462,IF(ISNUMBER(A463),B463,J462))))))</f>
        <v/>
      </c>
    </row>
    <row r="464" spans="9:10">
      <c r="I464" s="62" t="str">
        <f t="shared" si="15"/>
        <v/>
      </c>
      <c r="J464" s="63" t="str">
        <f t="shared" si="16"/>
        <v/>
      </c>
    </row>
    <row r="465" spans="9:10">
      <c r="I465" s="62" t="str">
        <f t="shared" si="15"/>
        <v/>
      </c>
      <c r="J465" s="63" t="str">
        <f t="shared" si="16"/>
        <v/>
      </c>
    </row>
    <row r="466" spans="9:10">
      <c r="I466" s="62" t="str">
        <f t="shared" si="15"/>
        <v/>
      </c>
      <c r="J466" s="63" t="str">
        <f t="shared" si="16"/>
        <v/>
      </c>
    </row>
    <row r="467" spans="9:10">
      <c r="I467" s="62" t="str">
        <f t="shared" si="15"/>
        <v/>
      </c>
      <c r="J467" s="63" t="str">
        <f t="shared" si="16"/>
        <v/>
      </c>
    </row>
    <row r="468" spans="9:10">
      <c r="I468" s="62" t="str">
        <f t="shared" si="15"/>
        <v/>
      </c>
      <c r="J468" s="63" t="str">
        <f t="shared" si="16"/>
        <v/>
      </c>
    </row>
    <row r="469" spans="9:10">
      <c r="I469" s="62" t="str">
        <f t="shared" si="15"/>
        <v/>
      </c>
      <c r="J469" s="63" t="str">
        <f t="shared" si="16"/>
        <v/>
      </c>
    </row>
    <row r="470" spans="9:10">
      <c r="I470" s="62" t="str">
        <f t="shared" si="15"/>
        <v/>
      </c>
      <c r="J470" s="63" t="str">
        <f t="shared" si="16"/>
        <v/>
      </c>
    </row>
    <row r="471" spans="9:10">
      <c r="I471" s="62" t="str">
        <f t="shared" si="15"/>
        <v/>
      </c>
      <c r="J471" s="63" t="str">
        <f t="shared" si="16"/>
        <v/>
      </c>
    </row>
    <row r="472" spans="9:10">
      <c r="I472" s="62" t="str">
        <f t="shared" si="15"/>
        <v/>
      </c>
      <c r="J472" s="63" t="str">
        <f t="shared" si="16"/>
        <v/>
      </c>
    </row>
    <row r="473" spans="9:10">
      <c r="I473" s="62" t="str">
        <f t="shared" si="15"/>
        <v/>
      </c>
      <c r="J473" s="63" t="str">
        <f t="shared" si="16"/>
        <v/>
      </c>
    </row>
    <row r="474" spans="9:10">
      <c r="I474" s="62" t="str">
        <f t="shared" si="15"/>
        <v/>
      </c>
      <c r="J474" s="63" t="str">
        <f t="shared" si="16"/>
        <v/>
      </c>
    </row>
    <row r="475" spans="9:10">
      <c r="I475" s="62" t="str">
        <f t="shared" si="15"/>
        <v/>
      </c>
      <c r="J475" s="63" t="str">
        <f t="shared" si="16"/>
        <v/>
      </c>
    </row>
    <row r="476" spans="9:10">
      <c r="I476" s="62" t="str">
        <f t="shared" si="15"/>
        <v/>
      </c>
      <c r="J476" s="63" t="str">
        <f t="shared" si="16"/>
        <v/>
      </c>
    </row>
    <row r="477" spans="9:10">
      <c r="I477" s="62" t="str">
        <f t="shared" si="15"/>
        <v/>
      </c>
      <c r="J477" s="63" t="str">
        <f t="shared" si="16"/>
        <v/>
      </c>
    </row>
    <row r="478" spans="9:10">
      <c r="I478" s="62" t="str">
        <f t="shared" si="15"/>
        <v/>
      </c>
      <c r="J478" s="63" t="str">
        <f t="shared" si="16"/>
        <v/>
      </c>
    </row>
    <row r="479" spans="9:10">
      <c r="I479" s="62" t="str">
        <f t="shared" si="15"/>
        <v/>
      </c>
      <c r="J479" s="63" t="str">
        <f t="shared" si="16"/>
        <v/>
      </c>
    </row>
    <row r="480" spans="9:10">
      <c r="I480" s="62" t="str">
        <f t="shared" si="15"/>
        <v/>
      </c>
      <c r="J480" s="63" t="str">
        <f t="shared" si="16"/>
        <v/>
      </c>
    </row>
    <row r="481" spans="9:10">
      <c r="I481" s="62" t="str">
        <f t="shared" si="15"/>
        <v/>
      </c>
      <c r="J481" s="63" t="str">
        <f t="shared" si="16"/>
        <v/>
      </c>
    </row>
    <row r="482" spans="9:10">
      <c r="I482" s="62" t="str">
        <f t="shared" si="15"/>
        <v/>
      </c>
      <c r="J482" s="63" t="str">
        <f t="shared" si="16"/>
        <v/>
      </c>
    </row>
    <row r="483" spans="9:10">
      <c r="I483" s="62" t="str">
        <f t="shared" si="15"/>
        <v/>
      </c>
      <c r="J483" s="63" t="str">
        <f t="shared" si="16"/>
        <v/>
      </c>
    </row>
    <row r="484" spans="9:10">
      <c r="I484" s="62" t="str">
        <f t="shared" si="15"/>
        <v/>
      </c>
      <c r="J484" s="63" t="str">
        <f t="shared" si="16"/>
        <v/>
      </c>
    </row>
    <row r="485" spans="9:10">
      <c r="I485" s="62" t="str">
        <f t="shared" si="15"/>
        <v/>
      </c>
      <c r="J485" s="63" t="str">
        <f t="shared" si="16"/>
        <v/>
      </c>
    </row>
    <row r="486" spans="9:10">
      <c r="I486" s="62" t="str">
        <f t="shared" si="15"/>
        <v/>
      </c>
      <c r="J486" s="63" t="str">
        <f t="shared" si="16"/>
        <v/>
      </c>
    </row>
    <row r="487" spans="9:10">
      <c r="I487" s="62" t="str">
        <f t="shared" si="15"/>
        <v/>
      </c>
      <c r="J487" s="63" t="str">
        <f t="shared" si="16"/>
        <v/>
      </c>
    </row>
    <row r="488" spans="9:10">
      <c r="I488" s="62" t="str">
        <f t="shared" si="15"/>
        <v/>
      </c>
      <c r="J488" s="63" t="str">
        <f t="shared" si="16"/>
        <v/>
      </c>
    </row>
    <row r="489" spans="9:10">
      <c r="I489" s="62" t="str">
        <f t="shared" si="15"/>
        <v/>
      </c>
      <c r="J489" s="63" t="str">
        <f t="shared" si="16"/>
        <v/>
      </c>
    </row>
    <row r="490" spans="9:10">
      <c r="I490" s="62" t="str">
        <f t="shared" si="15"/>
        <v/>
      </c>
      <c r="J490" s="63" t="str">
        <f t="shared" si="16"/>
        <v/>
      </c>
    </row>
    <row r="491" spans="9:10">
      <c r="I491" s="62" t="str">
        <f t="shared" si="15"/>
        <v/>
      </c>
      <c r="J491" s="63" t="str">
        <f t="shared" si="16"/>
        <v/>
      </c>
    </row>
    <row r="492" spans="9:10">
      <c r="I492" s="62" t="str">
        <f t="shared" si="15"/>
        <v/>
      </c>
      <c r="J492" s="63" t="str">
        <f t="shared" si="16"/>
        <v/>
      </c>
    </row>
    <row r="493" spans="9:10">
      <c r="I493" s="62" t="str">
        <f t="shared" si="15"/>
        <v/>
      </c>
      <c r="J493" s="63" t="str">
        <f t="shared" si="16"/>
        <v/>
      </c>
    </row>
    <row r="494" spans="9:10">
      <c r="I494" s="62" t="str">
        <f t="shared" si="15"/>
        <v/>
      </c>
      <c r="J494" s="63" t="str">
        <f t="shared" si="16"/>
        <v/>
      </c>
    </row>
    <row r="495" spans="9:10">
      <c r="I495" s="62" t="str">
        <f t="shared" si="15"/>
        <v/>
      </c>
      <c r="J495" s="63" t="str">
        <f t="shared" si="16"/>
        <v/>
      </c>
    </row>
    <row r="496" spans="9:10">
      <c r="I496" s="62" t="str">
        <f t="shared" si="15"/>
        <v/>
      </c>
      <c r="J496" s="63" t="str">
        <f t="shared" si="16"/>
        <v/>
      </c>
    </row>
    <row r="497" spans="9:10">
      <c r="I497" s="62" t="str">
        <f t="shared" si="15"/>
        <v/>
      </c>
      <c r="J497" s="63" t="str">
        <f t="shared" si="16"/>
        <v/>
      </c>
    </row>
    <row r="498" spans="9:10">
      <c r="I498" s="62" t="str">
        <f t="shared" si="15"/>
        <v/>
      </c>
      <c r="J498" s="63" t="str">
        <f t="shared" si="16"/>
        <v/>
      </c>
    </row>
    <row r="499" spans="9:10">
      <c r="I499" s="62" t="str">
        <f t="shared" si="15"/>
        <v/>
      </c>
      <c r="J499" s="63" t="str">
        <f t="shared" si="16"/>
        <v/>
      </c>
    </row>
    <row r="500" spans="9:10">
      <c r="I500" s="62" t="str">
        <f t="shared" si="15"/>
        <v/>
      </c>
      <c r="J500" s="63" t="str">
        <f t="shared" si="16"/>
        <v/>
      </c>
    </row>
    <row r="501" spans="9:10">
      <c r="I501" s="62" t="str">
        <f t="shared" si="15"/>
        <v/>
      </c>
      <c r="J501" s="63" t="str">
        <f t="shared" si="16"/>
        <v/>
      </c>
    </row>
    <row r="502" spans="9:10">
      <c r="I502" s="62" t="str">
        <f t="shared" si="15"/>
        <v/>
      </c>
      <c r="J502" s="63" t="str">
        <f t="shared" si="16"/>
        <v/>
      </c>
    </row>
    <row r="503" spans="9:10">
      <c r="I503" s="62" t="str">
        <f t="shared" si="15"/>
        <v/>
      </c>
      <c r="J503" s="63" t="str">
        <f t="shared" si="16"/>
        <v/>
      </c>
    </row>
    <row r="504" spans="9:10">
      <c r="I504" s="62" t="str">
        <f t="shared" si="15"/>
        <v/>
      </c>
      <c r="J504" s="63" t="str">
        <f t="shared" si="16"/>
        <v/>
      </c>
    </row>
    <row r="505" spans="9:10">
      <c r="I505" s="62" t="str">
        <f t="shared" si="15"/>
        <v/>
      </c>
      <c r="J505" s="63" t="str">
        <f t="shared" si="16"/>
        <v/>
      </c>
    </row>
    <row r="506" spans="9:10">
      <c r="I506" s="62" t="str">
        <f t="shared" si="15"/>
        <v/>
      </c>
      <c r="J506" s="63" t="str">
        <f t="shared" si="16"/>
        <v/>
      </c>
    </row>
    <row r="507" spans="9:10">
      <c r="I507" s="62" t="str">
        <f t="shared" si="15"/>
        <v/>
      </c>
      <c r="J507" s="63" t="str">
        <f t="shared" si="16"/>
        <v/>
      </c>
    </row>
    <row r="508" spans="9:10">
      <c r="I508" s="62" t="str">
        <f t="shared" si="15"/>
        <v/>
      </c>
      <c r="J508" s="63" t="str">
        <f t="shared" si="16"/>
        <v/>
      </c>
    </row>
    <row r="509" spans="9:10">
      <c r="I509" s="62" t="str">
        <f t="shared" si="15"/>
        <v/>
      </c>
      <c r="J509" s="63" t="str">
        <f t="shared" si="16"/>
        <v/>
      </c>
    </row>
    <row r="510" spans="9:10">
      <c r="I510" s="62" t="str">
        <f t="shared" si="15"/>
        <v/>
      </c>
      <c r="J510" s="63" t="str">
        <f t="shared" si="16"/>
        <v/>
      </c>
    </row>
    <row r="511" spans="9:10">
      <c r="I511" s="62" t="str">
        <f t="shared" si="15"/>
        <v/>
      </c>
      <c r="J511" s="63" t="str">
        <f t="shared" si="16"/>
        <v/>
      </c>
    </row>
    <row r="512" spans="9:10">
      <c r="I512" s="62" t="str">
        <f t="shared" si="15"/>
        <v/>
      </c>
      <c r="J512" s="63" t="str">
        <f t="shared" si="16"/>
        <v/>
      </c>
    </row>
    <row r="513" spans="9:10">
      <c r="I513" s="62" t="str">
        <f t="shared" si="15"/>
        <v/>
      </c>
      <c r="J513" s="63" t="str">
        <f t="shared" si="16"/>
        <v/>
      </c>
    </row>
    <row r="514" spans="9:10">
      <c r="I514" s="62" t="str">
        <f t="shared" si="15"/>
        <v/>
      </c>
      <c r="J514" s="63" t="str">
        <f t="shared" si="16"/>
        <v/>
      </c>
    </row>
    <row r="515" spans="9:10">
      <c r="I515" s="62" t="str">
        <f t="shared" si="15"/>
        <v/>
      </c>
      <c r="J515" s="63" t="str">
        <f t="shared" si="16"/>
        <v/>
      </c>
    </row>
    <row r="516" spans="9:10">
      <c r="I516" s="62" t="str">
        <f t="shared" si="15"/>
        <v/>
      </c>
      <c r="J516" s="63" t="str">
        <f t="shared" si="16"/>
        <v/>
      </c>
    </row>
    <row r="517" spans="9:10">
      <c r="I517" s="62" t="str">
        <f t="shared" si="15"/>
        <v/>
      </c>
      <c r="J517" s="63" t="str">
        <f t="shared" si="16"/>
        <v/>
      </c>
    </row>
    <row r="518" spans="9:10">
      <c r="I518" s="62" t="str">
        <f t="shared" si="15"/>
        <v/>
      </c>
      <c r="J518" s="63" t="str">
        <f t="shared" si="16"/>
        <v/>
      </c>
    </row>
    <row r="519" spans="9:10">
      <c r="I519" s="62" t="str">
        <f t="shared" si="15"/>
        <v/>
      </c>
      <c r="J519" s="63" t="str">
        <f t="shared" si="16"/>
        <v/>
      </c>
    </row>
    <row r="520" spans="9:10">
      <c r="I520" s="62" t="str">
        <f t="shared" si="15"/>
        <v/>
      </c>
      <c r="J520" s="63" t="str">
        <f t="shared" si="16"/>
        <v/>
      </c>
    </row>
    <row r="521" spans="9:10">
      <c r="I521" s="62" t="str">
        <f t="shared" si="15"/>
        <v/>
      </c>
      <c r="J521" s="63" t="str">
        <f t="shared" si="16"/>
        <v/>
      </c>
    </row>
    <row r="522" spans="9:10">
      <c r="I522" s="62" t="str">
        <f t="shared" si="15"/>
        <v/>
      </c>
      <c r="J522" s="63" t="str">
        <f t="shared" si="16"/>
        <v/>
      </c>
    </row>
    <row r="523" spans="9:10">
      <c r="I523" s="62" t="str">
        <f t="shared" si="15"/>
        <v/>
      </c>
      <c r="J523" s="63" t="str">
        <f t="shared" si="16"/>
        <v/>
      </c>
    </row>
    <row r="524" spans="9:10">
      <c r="I524" s="62" t="str">
        <f t="shared" ref="I524:I587" si="17">IF(B524="","",IF(B524="Total",I522,IF(B522="Total",I522, IF(ISNUMBER(A524),A524,I523))))</f>
        <v/>
      </c>
      <c r="J524" s="63" t="str">
        <f t="shared" si="16"/>
        <v/>
      </c>
    </row>
    <row r="525" spans="9:10">
      <c r="I525" s="62" t="str">
        <f t="shared" si="17"/>
        <v/>
      </c>
      <c r="J525" s="63" t="str">
        <f t="shared" si="16"/>
        <v/>
      </c>
    </row>
    <row r="526" spans="9:10">
      <c r="I526" s="62" t="str">
        <f t="shared" si="17"/>
        <v/>
      </c>
      <c r="J526" s="63" t="str">
        <f t="shared" si="16"/>
        <v/>
      </c>
    </row>
    <row r="527" spans="9:10">
      <c r="I527" s="62" t="str">
        <f t="shared" si="17"/>
        <v/>
      </c>
      <c r="J527" s="63" t="str">
        <f t="shared" ref="J527:J590" si="18">IF(B527="","",IF(B527="Total",J525,IF(B525="Total",J525,IF(A527="",J526,IF(ISNUMBER(A526),B526,IF(ISNUMBER(A527),B527,J526))))))</f>
        <v/>
      </c>
    </row>
    <row r="528" spans="9:10">
      <c r="I528" s="62" t="str">
        <f t="shared" si="17"/>
        <v/>
      </c>
      <c r="J528" s="63" t="str">
        <f t="shared" si="18"/>
        <v/>
      </c>
    </row>
    <row r="529" spans="9:10">
      <c r="I529" s="62" t="str">
        <f t="shared" si="17"/>
        <v/>
      </c>
      <c r="J529" s="63" t="str">
        <f t="shared" si="18"/>
        <v/>
      </c>
    </row>
    <row r="530" spans="9:10">
      <c r="I530" s="62" t="str">
        <f t="shared" si="17"/>
        <v/>
      </c>
      <c r="J530" s="63" t="str">
        <f t="shared" si="18"/>
        <v/>
      </c>
    </row>
    <row r="531" spans="9:10">
      <c r="I531" s="62" t="str">
        <f t="shared" si="17"/>
        <v/>
      </c>
      <c r="J531" s="63" t="str">
        <f t="shared" si="18"/>
        <v/>
      </c>
    </row>
    <row r="532" spans="9:10">
      <c r="I532" s="62" t="str">
        <f t="shared" si="17"/>
        <v/>
      </c>
      <c r="J532" s="63" t="str">
        <f t="shared" si="18"/>
        <v/>
      </c>
    </row>
    <row r="533" spans="9:10">
      <c r="I533" s="62" t="str">
        <f t="shared" si="17"/>
        <v/>
      </c>
      <c r="J533" s="63" t="str">
        <f t="shared" si="18"/>
        <v/>
      </c>
    </row>
    <row r="534" spans="9:10">
      <c r="I534" s="62" t="str">
        <f t="shared" si="17"/>
        <v/>
      </c>
      <c r="J534" s="63" t="str">
        <f t="shared" si="18"/>
        <v/>
      </c>
    </row>
    <row r="535" spans="9:10">
      <c r="I535" s="62" t="str">
        <f t="shared" si="17"/>
        <v/>
      </c>
      <c r="J535" s="63" t="str">
        <f t="shared" si="18"/>
        <v/>
      </c>
    </row>
    <row r="536" spans="9:10">
      <c r="I536" s="62" t="str">
        <f t="shared" si="17"/>
        <v/>
      </c>
      <c r="J536" s="63" t="str">
        <f t="shared" si="18"/>
        <v/>
      </c>
    </row>
    <row r="537" spans="9:10">
      <c r="I537" s="62" t="str">
        <f t="shared" si="17"/>
        <v/>
      </c>
      <c r="J537" s="63" t="str">
        <f t="shared" si="18"/>
        <v/>
      </c>
    </row>
    <row r="538" spans="9:10">
      <c r="I538" s="62" t="str">
        <f t="shared" si="17"/>
        <v/>
      </c>
      <c r="J538" s="63" t="str">
        <f t="shared" si="18"/>
        <v/>
      </c>
    </row>
    <row r="539" spans="9:10">
      <c r="I539" s="62" t="str">
        <f t="shared" si="17"/>
        <v/>
      </c>
      <c r="J539" s="63" t="str">
        <f t="shared" si="18"/>
        <v/>
      </c>
    </row>
    <row r="540" spans="9:10">
      <c r="I540" s="62" t="str">
        <f t="shared" si="17"/>
        <v/>
      </c>
      <c r="J540" s="63" t="str">
        <f t="shared" si="18"/>
        <v/>
      </c>
    </row>
    <row r="541" spans="9:10">
      <c r="I541" s="62" t="str">
        <f t="shared" si="17"/>
        <v/>
      </c>
      <c r="J541" s="63" t="str">
        <f t="shared" si="18"/>
        <v/>
      </c>
    </row>
    <row r="542" spans="9:10">
      <c r="I542" s="62" t="str">
        <f t="shared" si="17"/>
        <v/>
      </c>
      <c r="J542" s="63" t="str">
        <f t="shared" si="18"/>
        <v/>
      </c>
    </row>
    <row r="543" spans="9:10">
      <c r="I543" s="62" t="str">
        <f t="shared" si="17"/>
        <v/>
      </c>
      <c r="J543" s="63" t="str">
        <f t="shared" si="18"/>
        <v/>
      </c>
    </row>
    <row r="544" spans="9:10">
      <c r="I544" s="62" t="str">
        <f t="shared" si="17"/>
        <v/>
      </c>
      <c r="J544" s="63" t="str">
        <f t="shared" si="18"/>
        <v/>
      </c>
    </row>
    <row r="545" spans="9:10">
      <c r="I545" s="62" t="str">
        <f t="shared" si="17"/>
        <v/>
      </c>
      <c r="J545" s="63" t="str">
        <f t="shared" si="18"/>
        <v/>
      </c>
    </row>
    <row r="546" spans="9:10">
      <c r="I546" s="62" t="str">
        <f t="shared" si="17"/>
        <v/>
      </c>
      <c r="J546" s="63" t="str">
        <f t="shared" si="18"/>
        <v/>
      </c>
    </row>
    <row r="547" spans="9:10">
      <c r="I547" s="62" t="str">
        <f t="shared" si="17"/>
        <v/>
      </c>
      <c r="J547" s="63" t="str">
        <f t="shared" si="18"/>
        <v/>
      </c>
    </row>
    <row r="548" spans="9:10">
      <c r="I548" s="62" t="str">
        <f t="shared" si="17"/>
        <v/>
      </c>
      <c r="J548" s="63" t="str">
        <f t="shared" si="18"/>
        <v/>
      </c>
    </row>
    <row r="549" spans="9:10">
      <c r="I549" s="62" t="str">
        <f t="shared" si="17"/>
        <v/>
      </c>
      <c r="J549" s="63" t="str">
        <f t="shared" si="18"/>
        <v/>
      </c>
    </row>
    <row r="550" spans="9:10">
      <c r="I550" s="62" t="str">
        <f t="shared" si="17"/>
        <v/>
      </c>
      <c r="J550" s="63" t="str">
        <f t="shared" si="18"/>
        <v/>
      </c>
    </row>
    <row r="551" spans="9:10">
      <c r="I551" s="62" t="str">
        <f t="shared" si="17"/>
        <v/>
      </c>
      <c r="J551" s="63" t="str">
        <f t="shared" si="18"/>
        <v/>
      </c>
    </row>
    <row r="552" spans="9:10">
      <c r="I552" s="62" t="str">
        <f t="shared" si="17"/>
        <v/>
      </c>
      <c r="J552" s="63" t="str">
        <f t="shared" si="18"/>
        <v/>
      </c>
    </row>
    <row r="553" spans="9:10">
      <c r="I553" s="62" t="str">
        <f t="shared" si="17"/>
        <v/>
      </c>
      <c r="J553" s="63" t="str">
        <f t="shared" si="18"/>
        <v/>
      </c>
    </row>
    <row r="554" spans="9:10">
      <c r="I554" s="62" t="str">
        <f t="shared" si="17"/>
        <v/>
      </c>
      <c r="J554" s="63" t="str">
        <f t="shared" si="18"/>
        <v/>
      </c>
    </row>
    <row r="555" spans="9:10">
      <c r="I555" s="62" t="str">
        <f t="shared" si="17"/>
        <v/>
      </c>
      <c r="J555" s="63" t="str">
        <f t="shared" si="18"/>
        <v/>
      </c>
    </row>
    <row r="556" spans="9:10">
      <c r="I556" s="62" t="str">
        <f t="shared" si="17"/>
        <v/>
      </c>
      <c r="J556" s="63" t="str">
        <f t="shared" si="18"/>
        <v/>
      </c>
    </row>
    <row r="557" spans="9:10">
      <c r="I557" s="62" t="str">
        <f t="shared" si="17"/>
        <v/>
      </c>
      <c r="J557" s="63" t="str">
        <f t="shared" si="18"/>
        <v/>
      </c>
    </row>
    <row r="558" spans="9:10">
      <c r="I558" s="62" t="str">
        <f t="shared" si="17"/>
        <v/>
      </c>
      <c r="J558" s="63" t="str">
        <f t="shared" si="18"/>
        <v/>
      </c>
    </row>
    <row r="559" spans="9:10">
      <c r="I559" s="62" t="str">
        <f t="shared" si="17"/>
        <v/>
      </c>
      <c r="J559" s="63" t="str">
        <f t="shared" si="18"/>
        <v/>
      </c>
    </row>
    <row r="560" spans="9:10">
      <c r="I560" s="62" t="str">
        <f t="shared" si="17"/>
        <v/>
      </c>
      <c r="J560" s="63" t="str">
        <f t="shared" si="18"/>
        <v/>
      </c>
    </row>
    <row r="561" spans="9:10">
      <c r="I561" s="62" t="str">
        <f t="shared" si="17"/>
        <v/>
      </c>
      <c r="J561" s="63" t="str">
        <f t="shared" si="18"/>
        <v/>
      </c>
    </row>
    <row r="562" spans="9:10">
      <c r="I562" s="62" t="str">
        <f t="shared" si="17"/>
        <v/>
      </c>
      <c r="J562" s="63" t="str">
        <f t="shared" si="18"/>
        <v/>
      </c>
    </row>
    <row r="563" spans="9:10">
      <c r="I563" s="62" t="str">
        <f t="shared" si="17"/>
        <v/>
      </c>
      <c r="J563" s="63" t="str">
        <f t="shared" si="18"/>
        <v/>
      </c>
    </row>
    <row r="564" spans="9:10">
      <c r="I564" s="62" t="str">
        <f t="shared" si="17"/>
        <v/>
      </c>
      <c r="J564" s="63" t="str">
        <f t="shared" si="18"/>
        <v/>
      </c>
    </row>
    <row r="565" spans="9:10">
      <c r="I565" s="62" t="str">
        <f t="shared" si="17"/>
        <v/>
      </c>
      <c r="J565" s="63" t="str">
        <f t="shared" si="18"/>
        <v/>
      </c>
    </row>
    <row r="566" spans="9:10">
      <c r="I566" s="62" t="str">
        <f t="shared" si="17"/>
        <v/>
      </c>
      <c r="J566" s="63" t="str">
        <f t="shared" si="18"/>
        <v/>
      </c>
    </row>
    <row r="567" spans="9:10">
      <c r="I567" s="62" t="str">
        <f t="shared" si="17"/>
        <v/>
      </c>
      <c r="J567" s="63" t="str">
        <f t="shared" si="18"/>
        <v/>
      </c>
    </row>
    <row r="568" spans="9:10">
      <c r="I568" s="62" t="str">
        <f t="shared" si="17"/>
        <v/>
      </c>
      <c r="J568" s="63" t="str">
        <f t="shared" si="18"/>
        <v/>
      </c>
    </row>
    <row r="569" spans="9:10">
      <c r="I569" s="62" t="str">
        <f t="shared" si="17"/>
        <v/>
      </c>
      <c r="J569" s="63" t="str">
        <f t="shared" si="18"/>
        <v/>
      </c>
    </row>
    <row r="570" spans="9:10">
      <c r="I570" s="62" t="str">
        <f t="shared" si="17"/>
        <v/>
      </c>
      <c r="J570" s="63" t="str">
        <f t="shared" si="18"/>
        <v/>
      </c>
    </row>
    <row r="571" spans="9:10">
      <c r="I571" s="62" t="str">
        <f t="shared" si="17"/>
        <v/>
      </c>
      <c r="J571" s="63" t="str">
        <f t="shared" si="18"/>
        <v/>
      </c>
    </row>
    <row r="572" spans="9:10">
      <c r="I572" s="62" t="str">
        <f t="shared" si="17"/>
        <v/>
      </c>
      <c r="J572" s="63" t="str">
        <f t="shared" si="18"/>
        <v/>
      </c>
    </row>
    <row r="573" spans="9:10">
      <c r="I573" s="62" t="str">
        <f t="shared" si="17"/>
        <v/>
      </c>
      <c r="J573" s="63" t="str">
        <f t="shared" si="18"/>
        <v/>
      </c>
    </row>
    <row r="574" spans="9:10">
      <c r="I574" s="62" t="str">
        <f t="shared" si="17"/>
        <v/>
      </c>
      <c r="J574" s="63" t="str">
        <f t="shared" si="18"/>
        <v/>
      </c>
    </row>
    <row r="575" spans="9:10">
      <c r="I575" s="62" t="str">
        <f t="shared" si="17"/>
        <v/>
      </c>
      <c r="J575" s="63" t="str">
        <f t="shared" si="18"/>
        <v/>
      </c>
    </row>
    <row r="576" spans="9:10">
      <c r="I576" s="62" t="str">
        <f t="shared" si="17"/>
        <v/>
      </c>
      <c r="J576" s="63" t="str">
        <f t="shared" si="18"/>
        <v/>
      </c>
    </row>
    <row r="577" spans="9:10">
      <c r="I577" s="62" t="str">
        <f t="shared" si="17"/>
        <v/>
      </c>
      <c r="J577" s="63" t="str">
        <f t="shared" si="18"/>
        <v/>
      </c>
    </row>
    <row r="578" spans="9:10">
      <c r="I578" s="62" t="str">
        <f t="shared" si="17"/>
        <v/>
      </c>
      <c r="J578" s="63" t="str">
        <f t="shared" si="18"/>
        <v/>
      </c>
    </row>
    <row r="579" spans="9:10">
      <c r="I579" s="62" t="str">
        <f t="shared" si="17"/>
        <v/>
      </c>
      <c r="J579" s="63" t="str">
        <f t="shared" si="18"/>
        <v/>
      </c>
    </row>
    <row r="580" spans="9:10">
      <c r="I580" s="62" t="str">
        <f t="shared" si="17"/>
        <v/>
      </c>
      <c r="J580" s="63" t="str">
        <f t="shared" si="18"/>
        <v/>
      </c>
    </row>
    <row r="581" spans="9:10">
      <c r="I581" s="62" t="str">
        <f t="shared" si="17"/>
        <v/>
      </c>
      <c r="J581" s="63" t="str">
        <f t="shared" si="18"/>
        <v/>
      </c>
    </row>
    <row r="582" spans="9:10">
      <c r="I582" s="62" t="str">
        <f t="shared" si="17"/>
        <v/>
      </c>
      <c r="J582" s="63" t="str">
        <f t="shared" si="18"/>
        <v/>
      </c>
    </row>
    <row r="583" spans="9:10">
      <c r="I583" s="62" t="str">
        <f t="shared" si="17"/>
        <v/>
      </c>
      <c r="J583" s="63" t="str">
        <f t="shared" si="18"/>
        <v/>
      </c>
    </row>
    <row r="584" spans="9:10">
      <c r="I584" s="62" t="str">
        <f t="shared" si="17"/>
        <v/>
      </c>
      <c r="J584" s="63" t="str">
        <f t="shared" si="18"/>
        <v/>
      </c>
    </row>
    <row r="585" spans="9:10">
      <c r="I585" s="62" t="str">
        <f t="shared" si="17"/>
        <v/>
      </c>
      <c r="J585" s="63" t="str">
        <f t="shared" si="18"/>
        <v/>
      </c>
    </row>
    <row r="586" spans="9:10">
      <c r="I586" s="62" t="str">
        <f t="shared" si="17"/>
        <v/>
      </c>
      <c r="J586" s="63" t="str">
        <f t="shared" si="18"/>
        <v/>
      </c>
    </row>
    <row r="587" spans="9:10">
      <c r="I587" s="62" t="str">
        <f t="shared" si="17"/>
        <v/>
      </c>
      <c r="J587" s="63" t="str">
        <f t="shared" si="18"/>
        <v/>
      </c>
    </row>
    <row r="588" spans="9:10">
      <c r="I588" s="62" t="str">
        <f t="shared" ref="I588:I651" si="19">IF(B588="","",IF(B588="Total",I586,IF(B586="Total",I586, IF(ISNUMBER(A588),A588,I587))))</f>
        <v/>
      </c>
      <c r="J588" s="63" t="str">
        <f t="shared" si="18"/>
        <v/>
      </c>
    </row>
    <row r="589" spans="9:10">
      <c r="I589" s="62" t="str">
        <f t="shared" si="19"/>
        <v/>
      </c>
      <c r="J589" s="63" t="str">
        <f t="shared" si="18"/>
        <v/>
      </c>
    </row>
    <row r="590" spans="9:10">
      <c r="I590" s="62" t="str">
        <f t="shared" si="19"/>
        <v/>
      </c>
      <c r="J590" s="63" t="str">
        <f t="shared" si="18"/>
        <v/>
      </c>
    </row>
    <row r="591" spans="9:10">
      <c r="I591" s="62" t="str">
        <f t="shared" si="19"/>
        <v/>
      </c>
      <c r="J591" s="63" t="str">
        <f t="shared" ref="J591:J654" si="20">IF(B591="","",IF(B591="Total",J589,IF(B589="Total",J589,IF(A591="",J590,IF(ISNUMBER(A590),B590,IF(ISNUMBER(A591),B591,J590))))))</f>
        <v/>
      </c>
    </row>
    <row r="592" spans="9:10">
      <c r="I592" s="62" t="str">
        <f t="shared" si="19"/>
        <v/>
      </c>
      <c r="J592" s="63" t="str">
        <f t="shared" si="20"/>
        <v/>
      </c>
    </row>
    <row r="593" spans="9:10">
      <c r="I593" s="62" t="str">
        <f t="shared" si="19"/>
        <v/>
      </c>
      <c r="J593" s="63" t="str">
        <f t="shared" si="20"/>
        <v/>
      </c>
    </row>
    <row r="594" spans="9:10">
      <c r="I594" s="62" t="str">
        <f t="shared" si="19"/>
        <v/>
      </c>
      <c r="J594" s="63" t="str">
        <f t="shared" si="20"/>
        <v/>
      </c>
    </row>
    <row r="595" spans="9:10">
      <c r="I595" s="62" t="str">
        <f t="shared" si="19"/>
        <v/>
      </c>
      <c r="J595" s="63" t="str">
        <f t="shared" si="20"/>
        <v/>
      </c>
    </row>
    <row r="596" spans="9:10">
      <c r="I596" s="62" t="str">
        <f t="shared" si="19"/>
        <v/>
      </c>
      <c r="J596" s="63" t="str">
        <f t="shared" si="20"/>
        <v/>
      </c>
    </row>
    <row r="597" spans="9:10">
      <c r="I597" s="62" t="str">
        <f t="shared" si="19"/>
        <v/>
      </c>
      <c r="J597" s="63" t="str">
        <f t="shared" si="20"/>
        <v/>
      </c>
    </row>
    <row r="598" spans="9:10">
      <c r="I598" s="62" t="str">
        <f t="shared" si="19"/>
        <v/>
      </c>
      <c r="J598" s="63" t="str">
        <f t="shared" si="20"/>
        <v/>
      </c>
    </row>
    <row r="599" spans="9:10">
      <c r="I599" s="62" t="str">
        <f t="shared" si="19"/>
        <v/>
      </c>
      <c r="J599" s="63" t="str">
        <f t="shared" si="20"/>
        <v/>
      </c>
    </row>
    <row r="600" spans="9:10">
      <c r="I600" s="62" t="str">
        <f t="shared" si="19"/>
        <v/>
      </c>
      <c r="J600" s="63" t="str">
        <f t="shared" si="20"/>
        <v/>
      </c>
    </row>
    <row r="601" spans="9:10">
      <c r="I601" s="62" t="str">
        <f t="shared" si="19"/>
        <v/>
      </c>
      <c r="J601" s="63" t="str">
        <f t="shared" si="20"/>
        <v/>
      </c>
    </row>
    <row r="602" spans="9:10">
      <c r="I602" s="62" t="str">
        <f t="shared" si="19"/>
        <v/>
      </c>
      <c r="J602" s="63" t="str">
        <f t="shared" si="20"/>
        <v/>
      </c>
    </row>
    <row r="603" spans="9:10">
      <c r="I603" s="62" t="str">
        <f t="shared" si="19"/>
        <v/>
      </c>
      <c r="J603" s="63" t="str">
        <f t="shared" si="20"/>
        <v/>
      </c>
    </row>
    <row r="604" spans="9:10">
      <c r="I604" s="62" t="str">
        <f t="shared" si="19"/>
        <v/>
      </c>
      <c r="J604" s="63" t="str">
        <f t="shared" si="20"/>
        <v/>
      </c>
    </row>
    <row r="605" spans="9:10">
      <c r="I605" s="62" t="str">
        <f t="shared" si="19"/>
        <v/>
      </c>
      <c r="J605" s="63" t="str">
        <f t="shared" si="20"/>
        <v/>
      </c>
    </row>
    <row r="606" spans="9:10">
      <c r="I606" s="62" t="str">
        <f t="shared" si="19"/>
        <v/>
      </c>
      <c r="J606" s="63" t="str">
        <f t="shared" si="20"/>
        <v/>
      </c>
    </row>
    <row r="607" spans="9:10">
      <c r="I607" s="62" t="str">
        <f t="shared" si="19"/>
        <v/>
      </c>
      <c r="J607" s="63" t="str">
        <f t="shared" si="20"/>
        <v/>
      </c>
    </row>
    <row r="608" spans="9:10">
      <c r="I608" s="62" t="str">
        <f t="shared" si="19"/>
        <v/>
      </c>
      <c r="J608" s="63" t="str">
        <f t="shared" si="20"/>
        <v/>
      </c>
    </row>
    <row r="609" spans="9:10">
      <c r="I609" s="62" t="str">
        <f t="shared" si="19"/>
        <v/>
      </c>
      <c r="J609" s="63" t="str">
        <f t="shared" si="20"/>
        <v/>
      </c>
    </row>
    <row r="610" spans="9:10">
      <c r="I610" s="62" t="str">
        <f t="shared" si="19"/>
        <v/>
      </c>
      <c r="J610" s="63" t="str">
        <f t="shared" si="20"/>
        <v/>
      </c>
    </row>
    <row r="611" spans="9:10">
      <c r="I611" s="62" t="str">
        <f t="shared" si="19"/>
        <v/>
      </c>
      <c r="J611" s="63" t="str">
        <f t="shared" si="20"/>
        <v/>
      </c>
    </row>
    <row r="612" spans="9:10">
      <c r="I612" s="62" t="str">
        <f t="shared" si="19"/>
        <v/>
      </c>
      <c r="J612" s="63" t="str">
        <f t="shared" si="20"/>
        <v/>
      </c>
    </row>
    <row r="613" spans="9:10">
      <c r="I613" s="62" t="str">
        <f t="shared" si="19"/>
        <v/>
      </c>
      <c r="J613" s="63" t="str">
        <f t="shared" si="20"/>
        <v/>
      </c>
    </row>
    <row r="614" spans="9:10">
      <c r="I614" s="62" t="str">
        <f t="shared" si="19"/>
        <v/>
      </c>
      <c r="J614" s="63" t="str">
        <f t="shared" si="20"/>
        <v/>
      </c>
    </row>
    <row r="615" spans="9:10">
      <c r="I615" s="62" t="str">
        <f t="shared" si="19"/>
        <v/>
      </c>
      <c r="J615" s="63" t="str">
        <f t="shared" si="20"/>
        <v/>
      </c>
    </row>
    <row r="616" spans="9:10">
      <c r="I616" s="62" t="str">
        <f t="shared" si="19"/>
        <v/>
      </c>
      <c r="J616" s="63" t="str">
        <f t="shared" si="20"/>
        <v/>
      </c>
    </row>
    <row r="617" spans="9:10">
      <c r="I617" s="62" t="str">
        <f t="shared" si="19"/>
        <v/>
      </c>
      <c r="J617" s="63" t="str">
        <f t="shared" si="20"/>
        <v/>
      </c>
    </row>
    <row r="618" spans="9:10">
      <c r="I618" s="62" t="str">
        <f t="shared" si="19"/>
        <v/>
      </c>
      <c r="J618" s="63" t="str">
        <f t="shared" si="20"/>
        <v/>
      </c>
    </row>
    <row r="619" spans="9:10">
      <c r="I619" s="62" t="str">
        <f t="shared" si="19"/>
        <v/>
      </c>
      <c r="J619" s="63" t="str">
        <f t="shared" si="20"/>
        <v/>
      </c>
    </row>
    <row r="620" spans="9:10">
      <c r="I620" s="62" t="str">
        <f t="shared" si="19"/>
        <v/>
      </c>
      <c r="J620" s="63" t="str">
        <f t="shared" si="20"/>
        <v/>
      </c>
    </row>
    <row r="621" spans="9:10">
      <c r="I621" s="62" t="str">
        <f t="shared" si="19"/>
        <v/>
      </c>
      <c r="J621" s="63" t="str">
        <f t="shared" si="20"/>
        <v/>
      </c>
    </row>
    <row r="622" spans="9:10">
      <c r="I622" s="62" t="str">
        <f t="shared" si="19"/>
        <v/>
      </c>
      <c r="J622" s="63" t="str">
        <f t="shared" si="20"/>
        <v/>
      </c>
    </row>
    <row r="623" spans="9:10">
      <c r="I623" s="62" t="str">
        <f t="shared" si="19"/>
        <v/>
      </c>
      <c r="J623" s="63" t="str">
        <f t="shared" si="20"/>
        <v/>
      </c>
    </row>
    <row r="624" spans="9:10">
      <c r="I624" s="62" t="str">
        <f t="shared" si="19"/>
        <v/>
      </c>
      <c r="J624" s="63" t="str">
        <f t="shared" si="20"/>
        <v/>
      </c>
    </row>
    <row r="625" spans="9:10">
      <c r="I625" s="62" t="str">
        <f t="shared" si="19"/>
        <v/>
      </c>
      <c r="J625" s="63" t="str">
        <f t="shared" si="20"/>
        <v/>
      </c>
    </row>
    <row r="626" spans="9:10">
      <c r="I626" s="62" t="str">
        <f t="shared" si="19"/>
        <v/>
      </c>
      <c r="J626" s="63" t="str">
        <f t="shared" si="20"/>
        <v/>
      </c>
    </row>
    <row r="627" spans="9:10">
      <c r="I627" s="62" t="str">
        <f t="shared" si="19"/>
        <v/>
      </c>
      <c r="J627" s="63" t="str">
        <f t="shared" si="20"/>
        <v/>
      </c>
    </row>
    <row r="628" spans="9:10">
      <c r="I628" s="62" t="str">
        <f t="shared" si="19"/>
        <v/>
      </c>
      <c r="J628" s="63" t="str">
        <f t="shared" si="20"/>
        <v/>
      </c>
    </row>
    <row r="629" spans="9:10">
      <c r="I629" s="62" t="str">
        <f t="shared" si="19"/>
        <v/>
      </c>
      <c r="J629" s="63" t="str">
        <f t="shared" si="20"/>
        <v/>
      </c>
    </row>
    <row r="630" spans="9:10">
      <c r="I630" s="62" t="str">
        <f t="shared" si="19"/>
        <v/>
      </c>
      <c r="J630" s="63" t="str">
        <f t="shared" si="20"/>
        <v/>
      </c>
    </row>
    <row r="631" spans="9:10">
      <c r="I631" s="62" t="str">
        <f t="shared" si="19"/>
        <v/>
      </c>
      <c r="J631" s="63" t="str">
        <f t="shared" si="20"/>
        <v/>
      </c>
    </row>
    <row r="632" spans="9:10">
      <c r="I632" s="62" t="str">
        <f t="shared" si="19"/>
        <v/>
      </c>
      <c r="J632" s="63" t="str">
        <f t="shared" si="20"/>
        <v/>
      </c>
    </row>
    <row r="633" spans="9:10">
      <c r="I633" s="62" t="str">
        <f t="shared" si="19"/>
        <v/>
      </c>
      <c r="J633" s="63" t="str">
        <f t="shared" si="20"/>
        <v/>
      </c>
    </row>
    <row r="634" spans="9:10">
      <c r="I634" s="62" t="str">
        <f t="shared" si="19"/>
        <v/>
      </c>
      <c r="J634" s="63" t="str">
        <f t="shared" si="20"/>
        <v/>
      </c>
    </row>
    <row r="635" spans="9:10">
      <c r="I635" s="62" t="str">
        <f t="shared" si="19"/>
        <v/>
      </c>
      <c r="J635" s="63" t="str">
        <f t="shared" si="20"/>
        <v/>
      </c>
    </row>
    <row r="636" spans="9:10">
      <c r="I636" s="62" t="str">
        <f t="shared" si="19"/>
        <v/>
      </c>
      <c r="J636" s="63" t="str">
        <f t="shared" si="20"/>
        <v/>
      </c>
    </row>
    <row r="637" spans="9:10">
      <c r="I637" s="62" t="str">
        <f t="shared" si="19"/>
        <v/>
      </c>
      <c r="J637" s="63" t="str">
        <f t="shared" si="20"/>
        <v/>
      </c>
    </row>
    <row r="638" spans="9:10">
      <c r="I638" s="62" t="str">
        <f t="shared" si="19"/>
        <v/>
      </c>
      <c r="J638" s="63" t="str">
        <f t="shared" si="20"/>
        <v/>
      </c>
    </row>
    <row r="639" spans="9:10">
      <c r="I639" s="62" t="str">
        <f t="shared" si="19"/>
        <v/>
      </c>
      <c r="J639" s="63" t="str">
        <f t="shared" si="20"/>
        <v/>
      </c>
    </row>
    <row r="640" spans="9:10">
      <c r="I640" s="62" t="str">
        <f t="shared" si="19"/>
        <v/>
      </c>
      <c r="J640" s="63" t="str">
        <f t="shared" si="20"/>
        <v/>
      </c>
    </row>
    <row r="641" spans="9:10">
      <c r="I641" s="62" t="str">
        <f t="shared" si="19"/>
        <v/>
      </c>
      <c r="J641" s="63" t="str">
        <f t="shared" si="20"/>
        <v/>
      </c>
    </row>
    <row r="642" spans="9:10">
      <c r="I642" s="62" t="str">
        <f t="shared" si="19"/>
        <v/>
      </c>
      <c r="J642" s="63" t="str">
        <f t="shared" si="20"/>
        <v/>
      </c>
    </row>
    <row r="643" spans="9:10">
      <c r="I643" s="62" t="str">
        <f t="shared" si="19"/>
        <v/>
      </c>
      <c r="J643" s="63" t="str">
        <f t="shared" si="20"/>
        <v/>
      </c>
    </row>
    <row r="644" spans="9:10">
      <c r="I644" s="62" t="str">
        <f t="shared" si="19"/>
        <v/>
      </c>
      <c r="J644" s="63" t="str">
        <f t="shared" si="20"/>
        <v/>
      </c>
    </row>
    <row r="645" spans="9:10">
      <c r="I645" s="62" t="str">
        <f t="shared" si="19"/>
        <v/>
      </c>
      <c r="J645" s="63" t="str">
        <f t="shared" si="20"/>
        <v/>
      </c>
    </row>
    <row r="646" spans="9:10">
      <c r="I646" s="62" t="str">
        <f t="shared" si="19"/>
        <v/>
      </c>
      <c r="J646" s="63" t="str">
        <f t="shared" si="20"/>
        <v/>
      </c>
    </row>
    <row r="647" spans="9:10">
      <c r="I647" s="62" t="str">
        <f t="shared" si="19"/>
        <v/>
      </c>
      <c r="J647" s="63" t="str">
        <f t="shared" si="20"/>
        <v/>
      </c>
    </row>
    <row r="648" spans="9:10">
      <c r="I648" s="62" t="str">
        <f t="shared" si="19"/>
        <v/>
      </c>
      <c r="J648" s="63" t="str">
        <f t="shared" si="20"/>
        <v/>
      </c>
    </row>
    <row r="649" spans="9:10">
      <c r="I649" s="62" t="str">
        <f t="shared" si="19"/>
        <v/>
      </c>
      <c r="J649" s="63" t="str">
        <f t="shared" si="20"/>
        <v/>
      </c>
    </row>
    <row r="650" spans="9:10">
      <c r="I650" s="62" t="str">
        <f t="shared" si="19"/>
        <v/>
      </c>
      <c r="J650" s="63" t="str">
        <f t="shared" si="20"/>
        <v/>
      </c>
    </row>
    <row r="651" spans="9:10">
      <c r="I651" s="62" t="str">
        <f t="shared" si="19"/>
        <v/>
      </c>
      <c r="J651" s="63" t="str">
        <f t="shared" si="20"/>
        <v/>
      </c>
    </row>
    <row r="652" spans="9:10">
      <c r="I652" s="62" t="str">
        <f t="shared" ref="I652:I715" si="21">IF(B652="","",IF(B652="Total",I650,IF(B650="Total",I650, IF(ISNUMBER(A652),A652,I651))))</f>
        <v/>
      </c>
      <c r="J652" s="63" t="str">
        <f t="shared" si="20"/>
        <v/>
      </c>
    </row>
    <row r="653" spans="9:10">
      <c r="I653" s="62" t="str">
        <f t="shared" si="21"/>
        <v/>
      </c>
      <c r="J653" s="63" t="str">
        <f t="shared" si="20"/>
        <v/>
      </c>
    </row>
    <row r="654" spans="9:10">
      <c r="I654" s="62" t="str">
        <f t="shared" si="21"/>
        <v/>
      </c>
      <c r="J654" s="63" t="str">
        <f t="shared" si="20"/>
        <v/>
      </c>
    </row>
    <row r="655" spans="9:10">
      <c r="I655" s="62" t="str">
        <f t="shared" si="21"/>
        <v/>
      </c>
      <c r="J655" s="63" t="str">
        <f t="shared" ref="J655:J718" si="22">IF(B655="","",IF(B655="Total",J653,IF(B653="Total",J653,IF(A655="",J654,IF(ISNUMBER(A654),B654,IF(ISNUMBER(A655),B655,J654))))))</f>
        <v/>
      </c>
    </row>
    <row r="656" spans="9:10">
      <c r="I656" s="62" t="str">
        <f t="shared" si="21"/>
        <v/>
      </c>
      <c r="J656" s="63" t="str">
        <f t="shared" si="22"/>
        <v/>
      </c>
    </row>
    <row r="657" spans="9:10">
      <c r="I657" s="62" t="str">
        <f t="shared" si="21"/>
        <v/>
      </c>
      <c r="J657" s="63" t="str">
        <f t="shared" si="22"/>
        <v/>
      </c>
    </row>
    <row r="658" spans="9:10">
      <c r="I658" s="62" t="str">
        <f t="shared" si="21"/>
        <v/>
      </c>
      <c r="J658" s="63" t="str">
        <f t="shared" si="22"/>
        <v/>
      </c>
    </row>
    <row r="659" spans="9:10">
      <c r="I659" s="62" t="str">
        <f t="shared" si="21"/>
        <v/>
      </c>
      <c r="J659" s="63" t="str">
        <f t="shared" si="22"/>
        <v/>
      </c>
    </row>
    <row r="660" spans="9:10">
      <c r="I660" s="62" t="str">
        <f t="shared" si="21"/>
        <v/>
      </c>
      <c r="J660" s="63" t="str">
        <f t="shared" si="22"/>
        <v/>
      </c>
    </row>
    <row r="661" spans="9:10">
      <c r="I661" s="62" t="str">
        <f t="shared" si="21"/>
        <v/>
      </c>
      <c r="J661" s="63" t="str">
        <f t="shared" si="22"/>
        <v/>
      </c>
    </row>
    <row r="662" spans="9:10">
      <c r="I662" s="62" t="str">
        <f t="shared" si="21"/>
        <v/>
      </c>
      <c r="J662" s="63" t="str">
        <f t="shared" si="22"/>
        <v/>
      </c>
    </row>
    <row r="663" spans="9:10">
      <c r="I663" s="62" t="str">
        <f t="shared" si="21"/>
        <v/>
      </c>
      <c r="J663" s="63" t="str">
        <f t="shared" si="22"/>
        <v/>
      </c>
    </row>
    <row r="664" spans="9:10">
      <c r="I664" s="62" t="str">
        <f t="shared" si="21"/>
        <v/>
      </c>
      <c r="J664" s="63" t="str">
        <f t="shared" si="22"/>
        <v/>
      </c>
    </row>
    <row r="665" spans="9:10">
      <c r="I665" s="62" t="str">
        <f t="shared" si="21"/>
        <v/>
      </c>
      <c r="J665" s="63" t="str">
        <f t="shared" si="22"/>
        <v/>
      </c>
    </row>
    <row r="666" spans="9:10">
      <c r="I666" s="62" t="str">
        <f t="shared" si="21"/>
        <v/>
      </c>
      <c r="J666" s="63" t="str">
        <f t="shared" si="22"/>
        <v/>
      </c>
    </row>
    <row r="667" spans="9:10">
      <c r="I667" s="62" t="str">
        <f t="shared" si="21"/>
        <v/>
      </c>
      <c r="J667" s="63" t="str">
        <f t="shared" si="22"/>
        <v/>
      </c>
    </row>
    <row r="668" spans="9:10">
      <c r="I668" s="62" t="str">
        <f t="shared" si="21"/>
        <v/>
      </c>
      <c r="J668" s="63" t="str">
        <f t="shared" si="22"/>
        <v/>
      </c>
    </row>
    <row r="669" spans="9:10">
      <c r="I669" s="62" t="str">
        <f t="shared" si="21"/>
        <v/>
      </c>
      <c r="J669" s="63" t="str">
        <f t="shared" si="22"/>
        <v/>
      </c>
    </row>
    <row r="670" spans="9:10">
      <c r="I670" s="62" t="str">
        <f t="shared" si="21"/>
        <v/>
      </c>
      <c r="J670" s="63" t="str">
        <f t="shared" si="22"/>
        <v/>
      </c>
    </row>
    <row r="671" spans="9:10">
      <c r="I671" s="62" t="str">
        <f t="shared" si="21"/>
        <v/>
      </c>
      <c r="J671" s="63" t="str">
        <f t="shared" si="22"/>
        <v/>
      </c>
    </row>
    <row r="672" spans="9:10">
      <c r="I672" s="62" t="str">
        <f t="shared" si="21"/>
        <v/>
      </c>
      <c r="J672" s="63" t="str">
        <f t="shared" si="22"/>
        <v/>
      </c>
    </row>
    <row r="673" spans="9:10">
      <c r="I673" s="62" t="str">
        <f t="shared" si="21"/>
        <v/>
      </c>
      <c r="J673" s="63" t="str">
        <f t="shared" si="22"/>
        <v/>
      </c>
    </row>
    <row r="674" spans="9:10">
      <c r="I674" s="62" t="str">
        <f t="shared" si="21"/>
        <v/>
      </c>
      <c r="J674" s="63" t="str">
        <f t="shared" si="22"/>
        <v/>
      </c>
    </row>
    <row r="675" spans="9:10">
      <c r="I675" s="62" t="str">
        <f t="shared" si="21"/>
        <v/>
      </c>
      <c r="J675" s="63" t="str">
        <f t="shared" si="22"/>
        <v/>
      </c>
    </row>
    <row r="676" spans="9:10">
      <c r="I676" s="62" t="str">
        <f t="shared" si="21"/>
        <v/>
      </c>
      <c r="J676" s="63" t="str">
        <f t="shared" si="22"/>
        <v/>
      </c>
    </row>
    <row r="677" spans="9:10">
      <c r="I677" s="62" t="str">
        <f t="shared" si="21"/>
        <v/>
      </c>
      <c r="J677" s="63" t="str">
        <f t="shared" si="22"/>
        <v/>
      </c>
    </row>
    <row r="678" spans="9:10">
      <c r="I678" s="62" t="str">
        <f t="shared" si="21"/>
        <v/>
      </c>
      <c r="J678" s="63" t="str">
        <f t="shared" si="22"/>
        <v/>
      </c>
    </row>
    <row r="679" spans="9:10">
      <c r="I679" s="62" t="str">
        <f t="shared" si="21"/>
        <v/>
      </c>
      <c r="J679" s="63" t="str">
        <f t="shared" si="22"/>
        <v/>
      </c>
    </row>
    <row r="680" spans="9:10">
      <c r="I680" s="62" t="str">
        <f t="shared" si="21"/>
        <v/>
      </c>
      <c r="J680" s="63" t="str">
        <f t="shared" si="22"/>
        <v/>
      </c>
    </row>
    <row r="681" spans="9:10">
      <c r="I681" s="62" t="str">
        <f t="shared" si="21"/>
        <v/>
      </c>
      <c r="J681" s="63" t="str">
        <f t="shared" si="22"/>
        <v/>
      </c>
    </row>
    <row r="682" spans="9:10">
      <c r="I682" s="62" t="str">
        <f t="shared" si="21"/>
        <v/>
      </c>
      <c r="J682" s="63" t="str">
        <f t="shared" si="22"/>
        <v/>
      </c>
    </row>
    <row r="683" spans="9:10">
      <c r="I683" s="62" t="str">
        <f t="shared" si="21"/>
        <v/>
      </c>
      <c r="J683" s="63" t="str">
        <f t="shared" si="22"/>
        <v/>
      </c>
    </row>
    <row r="684" spans="9:10">
      <c r="I684" s="62" t="str">
        <f t="shared" si="21"/>
        <v/>
      </c>
      <c r="J684" s="63" t="str">
        <f t="shared" si="22"/>
        <v/>
      </c>
    </row>
    <row r="685" spans="9:10">
      <c r="I685" s="62" t="str">
        <f t="shared" si="21"/>
        <v/>
      </c>
      <c r="J685" s="63" t="str">
        <f t="shared" si="22"/>
        <v/>
      </c>
    </row>
    <row r="686" spans="9:10">
      <c r="I686" s="62" t="str">
        <f t="shared" si="21"/>
        <v/>
      </c>
      <c r="J686" s="63" t="str">
        <f t="shared" si="22"/>
        <v/>
      </c>
    </row>
    <row r="687" spans="9:10">
      <c r="I687" s="62" t="str">
        <f t="shared" si="21"/>
        <v/>
      </c>
      <c r="J687" s="63" t="str">
        <f t="shared" si="22"/>
        <v/>
      </c>
    </row>
    <row r="688" spans="9:10">
      <c r="I688" s="62" t="str">
        <f t="shared" si="21"/>
        <v/>
      </c>
      <c r="J688" s="63" t="str">
        <f t="shared" si="22"/>
        <v/>
      </c>
    </row>
    <row r="689" spans="9:10">
      <c r="I689" s="62" t="str">
        <f t="shared" si="21"/>
        <v/>
      </c>
      <c r="J689" s="63" t="str">
        <f t="shared" si="22"/>
        <v/>
      </c>
    </row>
    <row r="690" spans="9:10">
      <c r="I690" s="62" t="str">
        <f t="shared" si="21"/>
        <v/>
      </c>
      <c r="J690" s="63" t="str">
        <f t="shared" si="22"/>
        <v/>
      </c>
    </row>
    <row r="691" spans="9:10">
      <c r="I691" s="62" t="str">
        <f t="shared" si="21"/>
        <v/>
      </c>
      <c r="J691" s="63" t="str">
        <f t="shared" si="22"/>
        <v/>
      </c>
    </row>
    <row r="692" spans="9:10">
      <c r="I692" s="62" t="str">
        <f t="shared" si="21"/>
        <v/>
      </c>
      <c r="J692" s="63" t="str">
        <f t="shared" si="22"/>
        <v/>
      </c>
    </row>
    <row r="693" spans="9:10">
      <c r="I693" s="62" t="str">
        <f t="shared" si="21"/>
        <v/>
      </c>
      <c r="J693" s="63" t="str">
        <f t="shared" si="22"/>
        <v/>
      </c>
    </row>
    <row r="694" spans="9:10">
      <c r="I694" s="62" t="str">
        <f t="shared" si="21"/>
        <v/>
      </c>
      <c r="J694" s="63" t="str">
        <f t="shared" si="22"/>
        <v/>
      </c>
    </row>
    <row r="695" spans="9:10">
      <c r="I695" s="62" t="str">
        <f t="shared" si="21"/>
        <v/>
      </c>
      <c r="J695" s="63" t="str">
        <f t="shared" si="22"/>
        <v/>
      </c>
    </row>
    <row r="696" spans="9:10">
      <c r="I696" s="62" t="str">
        <f t="shared" si="21"/>
        <v/>
      </c>
      <c r="J696" s="63" t="str">
        <f t="shared" si="22"/>
        <v/>
      </c>
    </row>
    <row r="697" spans="9:10">
      <c r="I697" s="62" t="str">
        <f t="shared" si="21"/>
        <v/>
      </c>
      <c r="J697" s="63" t="str">
        <f t="shared" si="22"/>
        <v/>
      </c>
    </row>
    <row r="698" spans="9:10">
      <c r="I698" s="62" t="str">
        <f t="shared" si="21"/>
        <v/>
      </c>
      <c r="J698" s="63" t="str">
        <f t="shared" si="22"/>
        <v/>
      </c>
    </row>
    <row r="699" spans="9:10">
      <c r="I699" s="62" t="str">
        <f t="shared" si="21"/>
        <v/>
      </c>
      <c r="J699" s="63" t="str">
        <f t="shared" si="22"/>
        <v/>
      </c>
    </row>
    <row r="700" spans="9:10">
      <c r="I700" s="62" t="str">
        <f t="shared" si="21"/>
        <v/>
      </c>
      <c r="J700" s="63" t="str">
        <f t="shared" si="22"/>
        <v/>
      </c>
    </row>
    <row r="701" spans="9:10">
      <c r="I701" s="62" t="str">
        <f t="shared" si="21"/>
        <v/>
      </c>
      <c r="J701" s="63" t="str">
        <f t="shared" si="22"/>
        <v/>
      </c>
    </row>
    <row r="702" spans="9:10">
      <c r="I702" s="62" t="str">
        <f t="shared" si="21"/>
        <v/>
      </c>
      <c r="J702" s="63" t="str">
        <f t="shared" si="22"/>
        <v/>
      </c>
    </row>
    <row r="703" spans="9:10">
      <c r="I703" s="62" t="str">
        <f t="shared" si="21"/>
        <v/>
      </c>
      <c r="J703" s="63" t="str">
        <f t="shared" si="22"/>
        <v/>
      </c>
    </row>
    <row r="704" spans="9:10">
      <c r="I704" s="62" t="str">
        <f t="shared" si="21"/>
        <v/>
      </c>
      <c r="J704" s="63" t="str">
        <f t="shared" si="22"/>
        <v/>
      </c>
    </row>
    <row r="705" spans="9:10">
      <c r="I705" s="62" t="str">
        <f t="shared" si="21"/>
        <v/>
      </c>
      <c r="J705" s="63" t="str">
        <f t="shared" si="22"/>
        <v/>
      </c>
    </row>
    <row r="706" spans="9:10">
      <c r="I706" s="62" t="str">
        <f t="shared" si="21"/>
        <v/>
      </c>
      <c r="J706" s="63" t="str">
        <f t="shared" si="22"/>
        <v/>
      </c>
    </row>
    <row r="707" spans="9:10">
      <c r="I707" s="62" t="str">
        <f t="shared" si="21"/>
        <v/>
      </c>
      <c r="J707" s="63" t="str">
        <f t="shared" si="22"/>
        <v/>
      </c>
    </row>
    <row r="708" spans="9:10">
      <c r="I708" s="62" t="str">
        <f t="shared" si="21"/>
        <v/>
      </c>
      <c r="J708" s="63" t="str">
        <f t="shared" si="22"/>
        <v/>
      </c>
    </row>
    <row r="709" spans="9:10">
      <c r="I709" s="62" t="str">
        <f t="shared" si="21"/>
        <v/>
      </c>
      <c r="J709" s="63" t="str">
        <f t="shared" si="22"/>
        <v/>
      </c>
    </row>
    <row r="710" spans="9:10">
      <c r="I710" s="62" t="str">
        <f t="shared" si="21"/>
        <v/>
      </c>
      <c r="J710" s="63" t="str">
        <f t="shared" si="22"/>
        <v/>
      </c>
    </row>
    <row r="711" spans="9:10">
      <c r="I711" s="62" t="str">
        <f t="shared" si="21"/>
        <v/>
      </c>
      <c r="J711" s="63" t="str">
        <f t="shared" si="22"/>
        <v/>
      </c>
    </row>
    <row r="712" spans="9:10">
      <c r="I712" s="62" t="str">
        <f t="shared" si="21"/>
        <v/>
      </c>
      <c r="J712" s="63" t="str">
        <f t="shared" si="22"/>
        <v/>
      </c>
    </row>
    <row r="713" spans="9:10">
      <c r="I713" s="62" t="str">
        <f t="shared" si="21"/>
        <v/>
      </c>
      <c r="J713" s="63" t="str">
        <f t="shared" si="22"/>
        <v/>
      </c>
    </row>
    <row r="714" spans="9:10">
      <c r="I714" s="62" t="str">
        <f t="shared" si="21"/>
        <v/>
      </c>
      <c r="J714" s="63" t="str">
        <f t="shared" si="22"/>
        <v/>
      </c>
    </row>
    <row r="715" spans="9:10">
      <c r="I715" s="62" t="str">
        <f t="shared" si="21"/>
        <v/>
      </c>
      <c r="J715" s="63" t="str">
        <f t="shared" si="22"/>
        <v/>
      </c>
    </row>
    <row r="716" spans="9:10">
      <c r="I716" s="62" t="str">
        <f t="shared" ref="I716:I779" si="23">IF(B716="","",IF(B716="Total",I714,IF(B714="Total",I714, IF(ISNUMBER(A716),A716,I715))))</f>
        <v/>
      </c>
      <c r="J716" s="63" t="str">
        <f t="shared" si="22"/>
        <v/>
      </c>
    </row>
    <row r="717" spans="9:10">
      <c r="I717" s="62" t="str">
        <f t="shared" si="23"/>
        <v/>
      </c>
      <c r="J717" s="63" t="str">
        <f t="shared" si="22"/>
        <v/>
      </c>
    </row>
    <row r="718" spans="9:10">
      <c r="I718" s="62" t="str">
        <f t="shared" si="23"/>
        <v/>
      </c>
      <c r="J718" s="63" t="str">
        <f t="shared" si="22"/>
        <v/>
      </c>
    </row>
    <row r="719" spans="9:10">
      <c r="I719" s="62" t="str">
        <f t="shared" si="23"/>
        <v/>
      </c>
      <c r="J719" s="63" t="str">
        <f t="shared" ref="J719:J782" si="24">IF(B719="","",IF(B719="Total",J717,IF(B717="Total",J717,IF(A719="",J718,IF(ISNUMBER(A718),B718,IF(ISNUMBER(A719),B719,J718))))))</f>
        <v/>
      </c>
    </row>
    <row r="720" spans="9:10">
      <c r="I720" s="62" t="str">
        <f t="shared" si="23"/>
        <v/>
      </c>
      <c r="J720" s="63" t="str">
        <f t="shared" si="24"/>
        <v/>
      </c>
    </row>
    <row r="721" spans="9:10">
      <c r="I721" s="62" t="str">
        <f t="shared" si="23"/>
        <v/>
      </c>
      <c r="J721" s="63" t="str">
        <f t="shared" si="24"/>
        <v/>
      </c>
    </row>
    <row r="722" spans="9:10">
      <c r="I722" s="62" t="str">
        <f t="shared" si="23"/>
        <v/>
      </c>
      <c r="J722" s="63" t="str">
        <f t="shared" si="24"/>
        <v/>
      </c>
    </row>
    <row r="723" spans="9:10">
      <c r="I723" s="62" t="str">
        <f t="shared" si="23"/>
        <v/>
      </c>
      <c r="J723" s="63" t="str">
        <f t="shared" si="24"/>
        <v/>
      </c>
    </row>
    <row r="724" spans="9:10">
      <c r="I724" s="62" t="str">
        <f t="shared" si="23"/>
        <v/>
      </c>
      <c r="J724" s="63" t="str">
        <f t="shared" si="24"/>
        <v/>
      </c>
    </row>
    <row r="725" spans="9:10">
      <c r="I725" s="62" t="str">
        <f t="shared" si="23"/>
        <v/>
      </c>
      <c r="J725" s="63" t="str">
        <f t="shared" si="24"/>
        <v/>
      </c>
    </row>
    <row r="726" spans="9:10">
      <c r="I726" s="62" t="str">
        <f t="shared" si="23"/>
        <v/>
      </c>
      <c r="J726" s="63" t="str">
        <f t="shared" si="24"/>
        <v/>
      </c>
    </row>
    <row r="727" spans="9:10">
      <c r="I727" s="62" t="str">
        <f t="shared" si="23"/>
        <v/>
      </c>
      <c r="J727" s="63" t="str">
        <f t="shared" si="24"/>
        <v/>
      </c>
    </row>
    <row r="728" spans="9:10">
      <c r="I728" s="62" t="str">
        <f t="shared" si="23"/>
        <v/>
      </c>
      <c r="J728" s="63" t="str">
        <f t="shared" si="24"/>
        <v/>
      </c>
    </row>
    <row r="729" spans="9:10">
      <c r="I729" s="62" t="str">
        <f t="shared" si="23"/>
        <v/>
      </c>
      <c r="J729" s="63" t="str">
        <f t="shared" si="24"/>
        <v/>
      </c>
    </row>
    <row r="730" spans="9:10">
      <c r="I730" s="62" t="str">
        <f t="shared" si="23"/>
        <v/>
      </c>
      <c r="J730" s="63" t="str">
        <f t="shared" si="24"/>
        <v/>
      </c>
    </row>
    <row r="731" spans="9:10">
      <c r="I731" s="62" t="str">
        <f t="shared" si="23"/>
        <v/>
      </c>
      <c r="J731" s="63" t="str">
        <f t="shared" si="24"/>
        <v/>
      </c>
    </row>
    <row r="732" spans="9:10">
      <c r="I732" s="62" t="str">
        <f t="shared" si="23"/>
        <v/>
      </c>
      <c r="J732" s="63" t="str">
        <f t="shared" si="24"/>
        <v/>
      </c>
    </row>
    <row r="733" spans="9:10">
      <c r="I733" s="62" t="str">
        <f t="shared" si="23"/>
        <v/>
      </c>
      <c r="J733" s="63" t="str">
        <f t="shared" si="24"/>
        <v/>
      </c>
    </row>
    <row r="734" spans="9:10">
      <c r="I734" s="62" t="str">
        <f t="shared" si="23"/>
        <v/>
      </c>
      <c r="J734" s="63" t="str">
        <f t="shared" si="24"/>
        <v/>
      </c>
    </row>
    <row r="735" spans="9:10">
      <c r="I735" s="62" t="str">
        <f t="shared" si="23"/>
        <v/>
      </c>
      <c r="J735" s="63" t="str">
        <f t="shared" si="24"/>
        <v/>
      </c>
    </row>
    <row r="736" spans="9:10">
      <c r="I736" s="62" t="str">
        <f t="shared" si="23"/>
        <v/>
      </c>
      <c r="J736" s="63" t="str">
        <f t="shared" si="24"/>
        <v/>
      </c>
    </row>
    <row r="737" spans="9:10">
      <c r="I737" s="62" t="str">
        <f t="shared" si="23"/>
        <v/>
      </c>
      <c r="J737" s="63" t="str">
        <f t="shared" si="24"/>
        <v/>
      </c>
    </row>
    <row r="738" spans="9:10">
      <c r="I738" s="62" t="str">
        <f t="shared" si="23"/>
        <v/>
      </c>
      <c r="J738" s="63" t="str">
        <f t="shared" si="24"/>
        <v/>
      </c>
    </row>
    <row r="739" spans="9:10">
      <c r="I739" s="62" t="str">
        <f t="shared" si="23"/>
        <v/>
      </c>
      <c r="J739" s="63" t="str">
        <f t="shared" si="24"/>
        <v/>
      </c>
    </row>
    <row r="740" spans="9:10">
      <c r="I740" s="62" t="str">
        <f t="shared" si="23"/>
        <v/>
      </c>
      <c r="J740" s="63" t="str">
        <f t="shared" si="24"/>
        <v/>
      </c>
    </row>
    <row r="741" spans="9:10">
      <c r="I741" s="62" t="str">
        <f t="shared" si="23"/>
        <v/>
      </c>
      <c r="J741" s="63" t="str">
        <f t="shared" si="24"/>
        <v/>
      </c>
    </row>
    <row r="742" spans="9:10">
      <c r="I742" s="62" t="str">
        <f t="shared" si="23"/>
        <v/>
      </c>
      <c r="J742" s="63" t="str">
        <f t="shared" si="24"/>
        <v/>
      </c>
    </row>
    <row r="743" spans="9:10">
      <c r="I743" s="62" t="str">
        <f t="shared" si="23"/>
        <v/>
      </c>
      <c r="J743" s="63" t="str">
        <f t="shared" si="24"/>
        <v/>
      </c>
    </row>
    <row r="744" spans="9:10">
      <c r="I744" s="62" t="str">
        <f t="shared" si="23"/>
        <v/>
      </c>
      <c r="J744" s="63" t="str">
        <f t="shared" si="24"/>
        <v/>
      </c>
    </row>
    <row r="745" spans="9:10">
      <c r="I745" s="62" t="str">
        <f t="shared" si="23"/>
        <v/>
      </c>
      <c r="J745" s="63" t="str">
        <f t="shared" si="24"/>
        <v/>
      </c>
    </row>
    <row r="746" spans="9:10">
      <c r="I746" s="62" t="str">
        <f t="shared" si="23"/>
        <v/>
      </c>
      <c r="J746" s="63" t="str">
        <f t="shared" si="24"/>
        <v/>
      </c>
    </row>
    <row r="747" spans="9:10">
      <c r="I747" s="62" t="str">
        <f t="shared" si="23"/>
        <v/>
      </c>
      <c r="J747" s="63" t="str">
        <f t="shared" si="24"/>
        <v/>
      </c>
    </row>
    <row r="748" spans="9:10">
      <c r="I748" s="62" t="str">
        <f t="shared" si="23"/>
        <v/>
      </c>
      <c r="J748" s="63" t="str">
        <f t="shared" si="24"/>
        <v/>
      </c>
    </row>
    <row r="749" spans="9:10">
      <c r="I749" s="62" t="str">
        <f t="shared" si="23"/>
        <v/>
      </c>
      <c r="J749" s="63" t="str">
        <f t="shared" si="24"/>
        <v/>
      </c>
    </row>
    <row r="750" spans="9:10">
      <c r="I750" s="62" t="str">
        <f t="shared" si="23"/>
        <v/>
      </c>
      <c r="J750" s="63" t="str">
        <f t="shared" si="24"/>
        <v/>
      </c>
    </row>
    <row r="751" spans="9:10">
      <c r="I751" s="62" t="str">
        <f t="shared" si="23"/>
        <v/>
      </c>
      <c r="J751" s="63" t="str">
        <f t="shared" si="24"/>
        <v/>
      </c>
    </row>
    <row r="752" spans="9:10">
      <c r="I752" s="62" t="str">
        <f t="shared" si="23"/>
        <v/>
      </c>
      <c r="J752" s="63" t="str">
        <f t="shared" si="24"/>
        <v/>
      </c>
    </row>
    <row r="753" spans="9:10">
      <c r="I753" s="62" t="str">
        <f t="shared" si="23"/>
        <v/>
      </c>
      <c r="J753" s="63" t="str">
        <f t="shared" si="24"/>
        <v/>
      </c>
    </row>
    <row r="754" spans="9:10">
      <c r="I754" s="62" t="str">
        <f t="shared" si="23"/>
        <v/>
      </c>
      <c r="J754" s="63" t="str">
        <f t="shared" si="24"/>
        <v/>
      </c>
    </row>
    <row r="755" spans="9:10">
      <c r="I755" s="62" t="str">
        <f t="shared" si="23"/>
        <v/>
      </c>
      <c r="J755" s="63" t="str">
        <f t="shared" si="24"/>
        <v/>
      </c>
    </row>
    <row r="756" spans="9:10">
      <c r="I756" s="62" t="str">
        <f t="shared" si="23"/>
        <v/>
      </c>
      <c r="J756" s="63" t="str">
        <f t="shared" si="24"/>
        <v/>
      </c>
    </row>
    <row r="757" spans="9:10">
      <c r="I757" s="62" t="str">
        <f t="shared" si="23"/>
        <v/>
      </c>
      <c r="J757" s="63" t="str">
        <f t="shared" si="24"/>
        <v/>
      </c>
    </row>
    <row r="758" spans="9:10">
      <c r="I758" s="62" t="str">
        <f t="shared" si="23"/>
        <v/>
      </c>
      <c r="J758" s="63" t="str">
        <f t="shared" si="24"/>
        <v/>
      </c>
    </row>
    <row r="759" spans="9:10">
      <c r="I759" s="62" t="str">
        <f t="shared" si="23"/>
        <v/>
      </c>
      <c r="J759" s="63" t="str">
        <f t="shared" si="24"/>
        <v/>
      </c>
    </row>
    <row r="760" spans="9:10">
      <c r="I760" s="62" t="str">
        <f t="shared" si="23"/>
        <v/>
      </c>
      <c r="J760" s="63" t="str">
        <f t="shared" si="24"/>
        <v/>
      </c>
    </row>
    <row r="761" spans="9:10">
      <c r="I761" s="62" t="str">
        <f t="shared" si="23"/>
        <v/>
      </c>
      <c r="J761" s="63" t="str">
        <f t="shared" si="24"/>
        <v/>
      </c>
    </row>
    <row r="762" spans="9:10">
      <c r="I762" s="62" t="str">
        <f t="shared" si="23"/>
        <v/>
      </c>
      <c r="J762" s="63" t="str">
        <f t="shared" si="24"/>
        <v/>
      </c>
    </row>
    <row r="763" spans="9:10">
      <c r="I763" s="62" t="str">
        <f t="shared" si="23"/>
        <v/>
      </c>
      <c r="J763" s="63" t="str">
        <f t="shared" si="24"/>
        <v/>
      </c>
    </row>
    <row r="764" spans="9:10">
      <c r="I764" s="62" t="str">
        <f t="shared" si="23"/>
        <v/>
      </c>
      <c r="J764" s="63" t="str">
        <f t="shared" si="24"/>
        <v/>
      </c>
    </row>
    <row r="765" spans="9:10">
      <c r="I765" s="62" t="str">
        <f t="shared" si="23"/>
        <v/>
      </c>
      <c r="J765" s="63" t="str">
        <f t="shared" si="24"/>
        <v/>
      </c>
    </row>
    <row r="766" spans="9:10">
      <c r="I766" s="62" t="str">
        <f t="shared" si="23"/>
        <v/>
      </c>
      <c r="J766" s="63" t="str">
        <f t="shared" si="24"/>
        <v/>
      </c>
    </row>
    <row r="767" spans="9:10">
      <c r="I767" s="62" t="str">
        <f t="shared" si="23"/>
        <v/>
      </c>
      <c r="J767" s="63" t="str">
        <f t="shared" si="24"/>
        <v/>
      </c>
    </row>
    <row r="768" spans="9:10">
      <c r="I768" s="62" t="str">
        <f t="shared" si="23"/>
        <v/>
      </c>
      <c r="J768" s="63" t="str">
        <f t="shared" si="24"/>
        <v/>
      </c>
    </row>
    <row r="769" spans="9:10">
      <c r="I769" s="62" t="str">
        <f t="shared" si="23"/>
        <v/>
      </c>
      <c r="J769" s="63" t="str">
        <f t="shared" si="24"/>
        <v/>
      </c>
    </row>
    <row r="770" spans="9:10">
      <c r="I770" s="62" t="str">
        <f t="shared" si="23"/>
        <v/>
      </c>
      <c r="J770" s="63" t="str">
        <f t="shared" si="24"/>
        <v/>
      </c>
    </row>
    <row r="771" spans="9:10">
      <c r="I771" s="62" t="str">
        <f t="shared" si="23"/>
        <v/>
      </c>
      <c r="J771" s="63" t="str">
        <f t="shared" si="24"/>
        <v/>
      </c>
    </row>
    <row r="772" spans="9:10">
      <c r="I772" s="62" t="str">
        <f t="shared" si="23"/>
        <v/>
      </c>
      <c r="J772" s="63" t="str">
        <f t="shared" si="24"/>
        <v/>
      </c>
    </row>
    <row r="773" spans="9:10">
      <c r="I773" s="62" t="str">
        <f t="shared" si="23"/>
        <v/>
      </c>
      <c r="J773" s="63" t="str">
        <f t="shared" si="24"/>
        <v/>
      </c>
    </row>
    <row r="774" spans="9:10">
      <c r="I774" s="62" t="str">
        <f t="shared" si="23"/>
        <v/>
      </c>
      <c r="J774" s="63" t="str">
        <f t="shared" si="24"/>
        <v/>
      </c>
    </row>
    <row r="775" spans="9:10">
      <c r="I775" s="62" t="str">
        <f t="shared" si="23"/>
        <v/>
      </c>
      <c r="J775" s="63" t="str">
        <f t="shared" si="24"/>
        <v/>
      </c>
    </row>
    <row r="776" spans="9:10">
      <c r="I776" s="62" t="str">
        <f t="shared" si="23"/>
        <v/>
      </c>
      <c r="J776" s="63" t="str">
        <f t="shared" si="24"/>
        <v/>
      </c>
    </row>
    <row r="777" spans="9:10">
      <c r="I777" s="62" t="str">
        <f t="shared" si="23"/>
        <v/>
      </c>
      <c r="J777" s="63" t="str">
        <f t="shared" si="24"/>
        <v/>
      </c>
    </row>
    <row r="778" spans="9:10">
      <c r="I778" s="62" t="str">
        <f t="shared" si="23"/>
        <v/>
      </c>
      <c r="J778" s="63" t="str">
        <f t="shared" si="24"/>
        <v/>
      </c>
    </row>
    <row r="779" spans="9:10">
      <c r="I779" s="62" t="str">
        <f t="shared" si="23"/>
        <v/>
      </c>
      <c r="J779" s="63" t="str">
        <f t="shared" si="24"/>
        <v/>
      </c>
    </row>
    <row r="780" spans="9:10">
      <c r="I780" s="62" t="str">
        <f t="shared" ref="I780:I843" si="25">IF(B780="","",IF(B780="Total",I778,IF(B778="Total",I778, IF(ISNUMBER(A780),A780,I779))))</f>
        <v/>
      </c>
      <c r="J780" s="63" t="str">
        <f t="shared" si="24"/>
        <v/>
      </c>
    </row>
    <row r="781" spans="9:10">
      <c r="I781" s="62" t="str">
        <f t="shared" si="25"/>
        <v/>
      </c>
      <c r="J781" s="63" t="str">
        <f t="shared" si="24"/>
        <v/>
      </c>
    </row>
    <row r="782" spans="9:10">
      <c r="I782" s="62" t="str">
        <f t="shared" si="25"/>
        <v/>
      </c>
      <c r="J782" s="63" t="str">
        <f t="shared" si="24"/>
        <v/>
      </c>
    </row>
    <row r="783" spans="9:10">
      <c r="I783" s="62" t="str">
        <f t="shared" si="25"/>
        <v/>
      </c>
      <c r="J783" s="63" t="str">
        <f t="shared" ref="J783:J846" si="26">IF(B783="","",IF(B783="Total",J781,IF(B781="Total",J781,IF(A783="",J782,IF(ISNUMBER(A782),B782,IF(ISNUMBER(A783),B783,J782))))))</f>
        <v/>
      </c>
    </row>
    <row r="784" spans="9:10">
      <c r="I784" s="62" t="str">
        <f t="shared" si="25"/>
        <v/>
      </c>
      <c r="J784" s="63" t="str">
        <f t="shared" si="26"/>
        <v/>
      </c>
    </row>
    <row r="785" spans="9:10">
      <c r="I785" s="62" t="str">
        <f t="shared" si="25"/>
        <v/>
      </c>
      <c r="J785" s="63" t="str">
        <f t="shared" si="26"/>
        <v/>
      </c>
    </row>
    <row r="786" spans="9:10">
      <c r="I786" s="62" t="str">
        <f t="shared" si="25"/>
        <v/>
      </c>
      <c r="J786" s="63" t="str">
        <f t="shared" si="26"/>
        <v/>
      </c>
    </row>
    <row r="787" spans="9:10">
      <c r="I787" s="62" t="str">
        <f t="shared" si="25"/>
        <v/>
      </c>
      <c r="J787" s="63" t="str">
        <f t="shared" si="26"/>
        <v/>
      </c>
    </row>
    <row r="788" spans="9:10">
      <c r="I788" s="62" t="str">
        <f t="shared" si="25"/>
        <v/>
      </c>
      <c r="J788" s="63" t="str">
        <f t="shared" si="26"/>
        <v/>
      </c>
    </row>
    <row r="789" spans="9:10">
      <c r="I789" s="62" t="str">
        <f t="shared" si="25"/>
        <v/>
      </c>
      <c r="J789" s="63" t="str">
        <f t="shared" si="26"/>
        <v/>
      </c>
    </row>
    <row r="790" spans="9:10">
      <c r="I790" s="62" t="str">
        <f t="shared" si="25"/>
        <v/>
      </c>
      <c r="J790" s="63" t="str">
        <f t="shared" si="26"/>
        <v/>
      </c>
    </row>
    <row r="791" spans="9:10">
      <c r="I791" s="62" t="str">
        <f t="shared" si="25"/>
        <v/>
      </c>
      <c r="J791" s="63" t="str">
        <f t="shared" si="26"/>
        <v/>
      </c>
    </row>
    <row r="792" spans="9:10">
      <c r="I792" s="62" t="str">
        <f t="shared" si="25"/>
        <v/>
      </c>
      <c r="J792" s="63" t="str">
        <f t="shared" si="26"/>
        <v/>
      </c>
    </row>
    <row r="793" spans="9:10">
      <c r="I793" s="62" t="str">
        <f t="shared" si="25"/>
        <v/>
      </c>
      <c r="J793" s="63" t="str">
        <f t="shared" si="26"/>
        <v/>
      </c>
    </row>
    <row r="794" spans="9:10">
      <c r="I794" s="62" t="str">
        <f t="shared" si="25"/>
        <v/>
      </c>
      <c r="J794" s="63" t="str">
        <f t="shared" si="26"/>
        <v/>
      </c>
    </row>
    <row r="795" spans="9:10">
      <c r="I795" s="62" t="str">
        <f t="shared" si="25"/>
        <v/>
      </c>
      <c r="J795" s="63" t="str">
        <f t="shared" si="26"/>
        <v/>
      </c>
    </row>
    <row r="796" spans="9:10">
      <c r="I796" s="62" t="str">
        <f t="shared" si="25"/>
        <v/>
      </c>
      <c r="J796" s="63" t="str">
        <f t="shared" si="26"/>
        <v/>
      </c>
    </row>
    <row r="797" spans="9:10">
      <c r="I797" s="62" t="str">
        <f t="shared" si="25"/>
        <v/>
      </c>
      <c r="J797" s="63" t="str">
        <f t="shared" si="26"/>
        <v/>
      </c>
    </row>
    <row r="798" spans="9:10">
      <c r="I798" s="62" t="str">
        <f t="shared" si="25"/>
        <v/>
      </c>
      <c r="J798" s="63" t="str">
        <f t="shared" si="26"/>
        <v/>
      </c>
    </row>
    <row r="799" spans="9:10">
      <c r="I799" s="62" t="str">
        <f t="shared" si="25"/>
        <v/>
      </c>
      <c r="J799" s="63" t="str">
        <f t="shared" si="26"/>
        <v/>
      </c>
    </row>
    <row r="800" spans="9:10">
      <c r="I800" s="62" t="str">
        <f t="shared" si="25"/>
        <v/>
      </c>
      <c r="J800" s="63" t="str">
        <f t="shared" si="26"/>
        <v/>
      </c>
    </row>
    <row r="801" spans="9:10">
      <c r="I801" s="62" t="str">
        <f t="shared" si="25"/>
        <v/>
      </c>
      <c r="J801" s="63" t="str">
        <f t="shared" si="26"/>
        <v/>
      </c>
    </row>
    <row r="802" spans="9:10">
      <c r="I802" s="62" t="str">
        <f t="shared" si="25"/>
        <v/>
      </c>
      <c r="J802" s="63" t="str">
        <f t="shared" si="26"/>
        <v/>
      </c>
    </row>
    <row r="803" spans="9:10">
      <c r="I803" s="62" t="str">
        <f t="shared" si="25"/>
        <v/>
      </c>
      <c r="J803" s="63" t="str">
        <f t="shared" si="26"/>
        <v/>
      </c>
    </row>
    <row r="804" spans="9:10">
      <c r="I804" s="62" t="str">
        <f t="shared" si="25"/>
        <v/>
      </c>
      <c r="J804" s="63" t="str">
        <f t="shared" si="26"/>
        <v/>
      </c>
    </row>
    <row r="805" spans="9:10">
      <c r="I805" s="62" t="str">
        <f t="shared" si="25"/>
        <v/>
      </c>
      <c r="J805" s="63" t="str">
        <f t="shared" si="26"/>
        <v/>
      </c>
    </row>
    <row r="806" spans="9:10">
      <c r="I806" s="62" t="str">
        <f t="shared" si="25"/>
        <v/>
      </c>
      <c r="J806" s="63" t="str">
        <f t="shared" si="26"/>
        <v/>
      </c>
    </row>
    <row r="807" spans="9:10">
      <c r="I807" s="62" t="str">
        <f t="shared" si="25"/>
        <v/>
      </c>
      <c r="J807" s="63" t="str">
        <f t="shared" si="26"/>
        <v/>
      </c>
    </row>
    <row r="808" spans="9:10">
      <c r="I808" s="62" t="str">
        <f t="shared" si="25"/>
        <v/>
      </c>
      <c r="J808" s="63" t="str">
        <f t="shared" si="26"/>
        <v/>
      </c>
    </row>
    <row r="809" spans="9:10">
      <c r="I809" s="62" t="str">
        <f t="shared" si="25"/>
        <v/>
      </c>
      <c r="J809" s="63" t="str">
        <f t="shared" si="26"/>
        <v/>
      </c>
    </row>
    <row r="810" spans="9:10">
      <c r="I810" s="62" t="str">
        <f t="shared" si="25"/>
        <v/>
      </c>
      <c r="J810" s="63" t="str">
        <f t="shared" si="26"/>
        <v/>
      </c>
    </row>
    <row r="811" spans="9:10">
      <c r="I811" s="62" t="str">
        <f t="shared" si="25"/>
        <v/>
      </c>
      <c r="J811" s="63" t="str">
        <f t="shared" si="26"/>
        <v/>
      </c>
    </row>
    <row r="812" spans="9:10">
      <c r="I812" s="62" t="str">
        <f t="shared" si="25"/>
        <v/>
      </c>
      <c r="J812" s="63" t="str">
        <f t="shared" si="26"/>
        <v/>
      </c>
    </row>
    <row r="813" spans="9:10">
      <c r="I813" s="62" t="str">
        <f t="shared" si="25"/>
        <v/>
      </c>
      <c r="J813" s="63" t="str">
        <f t="shared" si="26"/>
        <v/>
      </c>
    </row>
    <row r="814" spans="9:10">
      <c r="I814" s="62" t="str">
        <f t="shared" si="25"/>
        <v/>
      </c>
      <c r="J814" s="63" t="str">
        <f t="shared" si="26"/>
        <v/>
      </c>
    </row>
    <row r="815" spans="9:10">
      <c r="I815" s="62" t="str">
        <f t="shared" si="25"/>
        <v/>
      </c>
      <c r="J815" s="63" t="str">
        <f t="shared" si="26"/>
        <v/>
      </c>
    </row>
    <row r="816" spans="9:10">
      <c r="I816" s="62" t="str">
        <f t="shared" si="25"/>
        <v/>
      </c>
      <c r="J816" s="63" t="str">
        <f t="shared" si="26"/>
        <v/>
      </c>
    </row>
    <row r="817" spans="9:10">
      <c r="I817" s="62" t="str">
        <f t="shared" si="25"/>
        <v/>
      </c>
      <c r="J817" s="63" t="str">
        <f t="shared" si="26"/>
        <v/>
      </c>
    </row>
    <row r="818" spans="9:10">
      <c r="I818" s="62" t="str">
        <f t="shared" si="25"/>
        <v/>
      </c>
      <c r="J818" s="63" t="str">
        <f t="shared" si="26"/>
        <v/>
      </c>
    </row>
    <row r="819" spans="9:10">
      <c r="I819" s="62" t="str">
        <f t="shared" si="25"/>
        <v/>
      </c>
      <c r="J819" s="63" t="str">
        <f t="shared" si="26"/>
        <v/>
      </c>
    </row>
    <row r="820" spans="9:10">
      <c r="I820" s="62" t="str">
        <f t="shared" si="25"/>
        <v/>
      </c>
      <c r="J820" s="63" t="str">
        <f t="shared" si="26"/>
        <v/>
      </c>
    </row>
    <row r="821" spans="9:10">
      <c r="I821" s="62" t="str">
        <f t="shared" si="25"/>
        <v/>
      </c>
      <c r="J821" s="63" t="str">
        <f t="shared" si="26"/>
        <v/>
      </c>
    </row>
    <row r="822" spans="9:10">
      <c r="I822" s="62" t="str">
        <f t="shared" si="25"/>
        <v/>
      </c>
      <c r="J822" s="63" t="str">
        <f t="shared" si="26"/>
        <v/>
      </c>
    </row>
    <row r="823" spans="9:10">
      <c r="I823" s="62" t="str">
        <f t="shared" si="25"/>
        <v/>
      </c>
      <c r="J823" s="63" t="str">
        <f t="shared" si="26"/>
        <v/>
      </c>
    </row>
    <row r="824" spans="9:10">
      <c r="I824" s="62" t="str">
        <f t="shared" si="25"/>
        <v/>
      </c>
      <c r="J824" s="63" t="str">
        <f t="shared" si="26"/>
        <v/>
      </c>
    </row>
    <row r="825" spans="9:10">
      <c r="I825" s="62" t="str">
        <f t="shared" si="25"/>
        <v/>
      </c>
      <c r="J825" s="63" t="str">
        <f t="shared" si="26"/>
        <v/>
      </c>
    </row>
    <row r="826" spans="9:10">
      <c r="I826" s="62" t="str">
        <f t="shared" si="25"/>
        <v/>
      </c>
      <c r="J826" s="63" t="str">
        <f t="shared" si="26"/>
        <v/>
      </c>
    </row>
    <row r="827" spans="9:10">
      <c r="I827" s="62" t="str">
        <f t="shared" si="25"/>
        <v/>
      </c>
      <c r="J827" s="63" t="str">
        <f t="shared" si="26"/>
        <v/>
      </c>
    </row>
    <row r="828" spans="9:10">
      <c r="I828" s="62" t="str">
        <f t="shared" si="25"/>
        <v/>
      </c>
      <c r="J828" s="63" t="str">
        <f t="shared" si="26"/>
        <v/>
      </c>
    </row>
    <row r="829" spans="9:10">
      <c r="I829" s="62" t="str">
        <f t="shared" si="25"/>
        <v/>
      </c>
      <c r="J829" s="63" t="str">
        <f t="shared" si="26"/>
        <v/>
      </c>
    </row>
    <row r="830" spans="9:10">
      <c r="I830" s="62" t="str">
        <f t="shared" si="25"/>
        <v/>
      </c>
      <c r="J830" s="63" t="str">
        <f t="shared" si="26"/>
        <v/>
      </c>
    </row>
    <row r="831" spans="9:10">
      <c r="I831" s="62" t="str">
        <f t="shared" si="25"/>
        <v/>
      </c>
      <c r="J831" s="63" t="str">
        <f t="shared" si="26"/>
        <v/>
      </c>
    </row>
    <row r="832" spans="9:10">
      <c r="I832" s="62" t="str">
        <f t="shared" si="25"/>
        <v/>
      </c>
      <c r="J832" s="63" t="str">
        <f t="shared" si="26"/>
        <v/>
      </c>
    </row>
    <row r="833" spans="9:10">
      <c r="I833" s="62" t="str">
        <f t="shared" si="25"/>
        <v/>
      </c>
      <c r="J833" s="63" t="str">
        <f t="shared" si="26"/>
        <v/>
      </c>
    </row>
    <row r="834" spans="9:10">
      <c r="I834" s="62" t="str">
        <f t="shared" si="25"/>
        <v/>
      </c>
      <c r="J834" s="63" t="str">
        <f t="shared" si="26"/>
        <v/>
      </c>
    </row>
    <row r="835" spans="9:10">
      <c r="I835" s="62" t="str">
        <f t="shared" si="25"/>
        <v/>
      </c>
      <c r="J835" s="63" t="str">
        <f t="shared" si="26"/>
        <v/>
      </c>
    </row>
    <row r="836" spans="9:10">
      <c r="I836" s="62" t="str">
        <f t="shared" si="25"/>
        <v/>
      </c>
      <c r="J836" s="63" t="str">
        <f t="shared" si="26"/>
        <v/>
      </c>
    </row>
    <row r="837" spans="9:10">
      <c r="I837" s="62" t="str">
        <f t="shared" si="25"/>
        <v/>
      </c>
      <c r="J837" s="63" t="str">
        <f t="shared" si="26"/>
        <v/>
      </c>
    </row>
    <row r="838" spans="9:10">
      <c r="I838" s="62" t="str">
        <f t="shared" si="25"/>
        <v/>
      </c>
      <c r="J838" s="63" t="str">
        <f t="shared" si="26"/>
        <v/>
      </c>
    </row>
    <row r="839" spans="9:10">
      <c r="I839" s="62" t="str">
        <f t="shared" si="25"/>
        <v/>
      </c>
      <c r="J839" s="63" t="str">
        <f t="shared" si="26"/>
        <v/>
      </c>
    </row>
    <row r="840" spans="9:10">
      <c r="I840" s="62" t="str">
        <f t="shared" si="25"/>
        <v/>
      </c>
      <c r="J840" s="63" t="str">
        <f t="shared" si="26"/>
        <v/>
      </c>
    </row>
    <row r="841" spans="9:10">
      <c r="I841" s="62" t="str">
        <f t="shared" si="25"/>
        <v/>
      </c>
      <c r="J841" s="63" t="str">
        <f t="shared" si="26"/>
        <v/>
      </c>
    </row>
    <row r="842" spans="9:10">
      <c r="I842" s="62" t="str">
        <f t="shared" si="25"/>
        <v/>
      </c>
      <c r="J842" s="63" t="str">
        <f t="shared" si="26"/>
        <v/>
      </c>
    </row>
    <row r="843" spans="9:10">
      <c r="I843" s="62" t="str">
        <f t="shared" si="25"/>
        <v/>
      </c>
      <c r="J843" s="63" t="str">
        <f t="shared" si="26"/>
        <v/>
      </c>
    </row>
    <row r="844" spans="9:10">
      <c r="I844" s="62" t="str">
        <f t="shared" ref="I844:I907" si="27">IF(B844="","",IF(B844="Total",I842,IF(B842="Total",I842, IF(ISNUMBER(A844),A844,I843))))</f>
        <v/>
      </c>
      <c r="J844" s="63" t="str">
        <f t="shared" si="26"/>
        <v/>
      </c>
    </row>
    <row r="845" spans="9:10">
      <c r="I845" s="62" t="str">
        <f t="shared" si="27"/>
        <v/>
      </c>
      <c r="J845" s="63" t="str">
        <f t="shared" si="26"/>
        <v/>
      </c>
    </row>
    <row r="846" spans="9:10">
      <c r="I846" s="62" t="str">
        <f t="shared" si="27"/>
        <v/>
      </c>
      <c r="J846" s="63" t="str">
        <f t="shared" si="26"/>
        <v/>
      </c>
    </row>
    <row r="847" spans="9:10">
      <c r="I847" s="62" t="str">
        <f t="shared" si="27"/>
        <v/>
      </c>
      <c r="J847" s="63" t="str">
        <f t="shared" ref="J847:J910" si="28">IF(B847="","",IF(B847="Total",J845,IF(B845="Total",J845,IF(A847="",J846,IF(ISNUMBER(A846),B846,IF(ISNUMBER(A847),B847,J846))))))</f>
        <v/>
      </c>
    </row>
    <row r="848" spans="9:10">
      <c r="I848" s="62" t="str">
        <f t="shared" si="27"/>
        <v/>
      </c>
      <c r="J848" s="63" t="str">
        <f t="shared" si="28"/>
        <v/>
      </c>
    </row>
    <row r="849" spans="9:10">
      <c r="I849" s="62" t="str">
        <f t="shared" si="27"/>
        <v/>
      </c>
      <c r="J849" s="63" t="str">
        <f t="shared" si="28"/>
        <v/>
      </c>
    </row>
    <row r="850" spans="9:10">
      <c r="I850" s="62" t="str">
        <f t="shared" si="27"/>
        <v/>
      </c>
      <c r="J850" s="63" t="str">
        <f t="shared" si="28"/>
        <v/>
      </c>
    </row>
    <row r="851" spans="9:10">
      <c r="I851" s="62" t="str">
        <f t="shared" si="27"/>
        <v/>
      </c>
      <c r="J851" s="63" t="str">
        <f t="shared" si="28"/>
        <v/>
      </c>
    </row>
    <row r="852" spans="9:10">
      <c r="I852" s="62" t="str">
        <f t="shared" si="27"/>
        <v/>
      </c>
      <c r="J852" s="63" t="str">
        <f t="shared" si="28"/>
        <v/>
      </c>
    </row>
    <row r="853" spans="9:10">
      <c r="I853" s="62" t="str">
        <f t="shared" si="27"/>
        <v/>
      </c>
      <c r="J853" s="63" t="str">
        <f t="shared" si="28"/>
        <v/>
      </c>
    </row>
    <row r="854" spans="9:10">
      <c r="I854" s="62" t="str">
        <f t="shared" si="27"/>
        <v/>
      </c>
      <c r="J854" s="63" t="str">
        <f t="shared" si="28"/>
        <v/>
      </c>
    </row>
    <row r="855" spans="9:10">
      <c r="I855" s="62" t="str">
        <f t="shared" si="27"/>
        <v/>
      </c>
      <c r="J855" s="63" t="str">
        <f t="shared" si="28"/>
        <v/>
      </c>
    </row>
    <row r="856" spans="9:10">
      <c r="I856" s="62" t="str">
        <f t="shared" si="27"/>
        <v/>
      </c>
      <c r="J856" s="63" t="str">
        <f t="shared" si="28"/>
        <v/>
      </c>
    </row>
    <row r="857" spans="9:10">
      <c r="I857" s="62" t="str">
        <f t="shared" si="27"/>
        <v/>
      </c>
      <c r="J857" s="63" t="str">
        <f t="shared" si="28"/>
        <v/>
      </c>
    </row>
    <row r="858" spans="9:10">
      <c r="I858" s="62" t="str">
        <f t="shared" si="27"/>
        <v/>
      </c>
      <c r="J858" s="63" t="str">
        <f t="shared" si="28"/>
        <v/>
      </c>
    </row>
    <row r="859" spans="9:10">
      <c r="I859" s="62" t="str">
        <f t="shared" si="27"/>
        <v/>
      </c>
      <c r="J859" s="63" t="str">
        <f t="shared" si="28"/>
        <v/>
      </c>
    </row>
    <row r="860" spans="9:10">
      <c r="I860" s="62" t="str">
        <f t="shared" si="27"/>
        <v/>
      </c>
      <c r="J860" s="63" t="str">
        <f t="shared" si="28"/>
        <v/>
      </c>
    </row>
    <row r="861" spans="9:10">
      <c r="I861" s="62" t="str">
        <f t="shared" si="27"/>
        <v/>
      </c>
      <c r="J861" s="63" t="str">
        <f t="shared" si="28"/>
        <v/>
      </c>
    </row>
    <row r="862" spans="9:10">
      <c r="I862" s="62" t="str">
        <f t="shared" si="27"/>
        <v/>
      </c>
      <c r="J862" s="63" t="str">
        <f t="shared" si="28"/>
        <v/>
      </c>
    </row>
    <row r="863" spans="9:10">
      <c r="I863" s="62" t="str">
        <f t="shared" si="27"/>
        <v/>
      </c>
      <c r="J863" s="63" t="str">
        <f t="shared" si="28"/>
        <v/>
      </c>
    </row>
    <row r="864" spans="9:10">
      <c r="I864" s="62" t="str">
        <f t="shared" si="27"/>
        <v/>
      </c>
      <c r="J864" s="63" t="str">
        <f t="shared" si="28"/>
        <v/>
      </c>
    </row>
    <row r="865" spans="9:10">
      <c r="I865" s="62" t="str">
        <f t="shared" si="27"/>
        <v/>
      </c>
      <c r="J865" s="63" t="str">
        <f t="shared" si="28"/>
        <v/>
      </c>
    </row>
    <row r="866" spans="9:10">
      <c r="I866" s="62" t="str">
        <f t="shared" si="27"/>
        <v/>
      </c>
      <c r="J866" s="63" t="str">
        <f t="shared" si="28"/>
        <v/>
      </c>
    </row>
    <row r="867" spans="9:10">
      <c r="I867" s="62" t="str">
        <f t="shared" si="27"/>
        <v/>
      </c>
      <c r="J867" s="63" t="str">
        <f t="shared" si="28"/>
        <v/>
      </c>
    </row>
    <row r="868" spans="9:10">
      <c r="I868" s="62" t="str">
        <f t="shared" si="27"/>
        <v/>
      </c>
      <c r="J868" s="63" t="str">
        <f t="shared" si="28"/>
        <v/>
      </c>
    </row>
    <row r="869" spans="9:10">
      <c r="I869" s="62" t="str">
        <f t="shared" si="27"/>
        <v/>
      </c>
      <c r="J869" s="63" t="str">
        <f t="shared" si="28"/>
        <v/>
      </c>
    </row>
    <row r="870" spans="9:10">
      <c r="I870" s="62" t="str">
        <f t="shared" si="27"/>
        <v/>
      </c>
      <c r="J870" s="63" t="str">
        <f t="shared" si="28"/>
        <v/>
      </c>
    </row>
    <row r="871" spans="9:10">
      <c r="I871" s="62" t="str">
        <f t="shared" si="27"/>
        <v/>
      </c>
      <c r="J871" s="63" t="str">
        <f t="shared" si="28"/>
        <v/>
      </c>
    </row>
    <row r="872" spans="9:10">
      <c r="I872" s="62" t="str">
        <f t="shared" si="27"/>
        <v/>
      </c>
      <c r="J872" s="63" t="str">
        <f t="shared" si="28"/>
        <v/>
      </c>
    </row>
    <row r="873" spans="9:10">
      <c r="I873" s="62" t="str">
        <f t="shared" si="27"/>
        <v/>
      </c>
      <c r="J873" s="63" t="str">
        <f t="shared" si="28"/>
        <v/>
      </c>
    </row>
    <row r="874" spans="9:10">
      <c r="I874" s="62" t="str">
        <f t="shared" si="27"/>
        <v/>
      </c>
      <c r="J874" s="63" t="str">
        <f t="shared" si="28"/>
        <v/>
      </c>
    </row>
    <row r="875" spans="9:10">
      <c r="I875" s="62" t="str">
        <f t="shared" si="27"/>
        <v/>
      </c>
      <c r="J875" s="63" t="str">
        <f t="shared" si="28"/>
        <v/>
      </c>
    </row>
    <row r="876" spans="9:10">
      <c r="I876" s="62" t="str">
        <f t="shared" si="27"/>
        <v/>
      </c>
      <c r="J876" s="63" t="str">
        <f t="shared" si="28"/>
        <v/>
      </c>
    </row>
    <row r="877" spans="9:10">
      <c r="I877" s="62" t="str">
        <f t="shared" si="27"/>
        <v/>
      </c>
      <c r="J877" s="63" t="str">
        <f t="shared" si="28"/>
        <v/>
      </c>
    </row>
    <row r="878" spans="9:10">
      <c r="I878" s="62" t="str">
        <f t="shared" si="27"/>
        <v/>
      </c>
      <c r="J878" s="63" t="str">
        <f t="shared" si="28"/>
        <v/>
      </c>
    </row>
    <row r="879" spans="9:10">
      <c r="I879" s="62" t="str">
        <f t="shared" si="27"/>
        <v/>
      </c>
      <c r="J879" s="63" t="str">
        <f t="shared" si="28"/>
        <v/>
      </c>
    </row>
    <row r="880" spans="9:10">
      <c r="I880" s="62" t="str">
        <f t="shared" si="27"/>
        <v/>
      </c>
      <c r="J880" s="63" t="str">
        <f t="shared" si="28"/>
        <v/>
      </c>
    </row>
    <row r="881" spans="9:10">
      <c r="I881" s="62" t="str">
        <f t="shared" si="27"/>
        <v/>
      </c>
      <c r="J881" s="63" t="str">
        <f t="shared" si="28"/>
        <v/>
      </c>
    </row>
    <row r="882" spans="9:10">
      <c r="I882" s="62" t="str">
        <f t="shared" si="27"/>
        <v/>
      </c>
      <c r="J882" s="63" t="str">
        <f t="shared" si="28"/>
        <v/>
      </c>
    </row>
    <row r="883" spans="9:10">
      <c r="I883" s="62" t="str">
        <f t="shared" si="27"/>
        <v/>
      </c>
      <c r="J883" s="63" t="str">
        <f t="shared" si="28"/>
        <v/>
      </c>
    </row>
    <row r="884" spans="9:10">
      <c r="I884" s="62" t="str">
        <f t="shared" si="27"/>
        <v/>
      </c>
      <c r="J884" s="63" t="str">
        <f t="shared" si="28"/>
        <v/>
      </c>
    </row>
    <row r="885" spans="9:10">
      <c r="I885" s="62" t="str">
        <f t="shared" si="27"/>
        <v/>
      </c>
      <c r="J885" s="63" t="str">
        <f t="shared" si="28"/>
        <v/>
      </c>
    </row>
    <row r="886" spans="9:10">
      <c r="I886" s="62" t="str">
        <f t="shared" si="27"/>
        <v/>
      </c>
      <c r="J886" s="63" t="str">
        <f t="shared" si="28"/>
        <v/>
      </c>
    </row>
    <row r="887" spans="9:10">
      <c r="I887" s="62" t="str">
        <f t="shared" si="27"/>
        <v/>
      </c>
      <c r="J887" s="63" t="str">
        <f t="shared" si="28"/>
        <v/>
      </c>
    </row>
    <row r="888" spans="9:10">
      <c r="I888" s="62" t="str">
        <f t="shared" si="27"/>
        <v/>
      </c>
      <c r="J888" s="63" t="str">
        <f t="shared" si="28"/>
        <v/>
      </c>
    </row>
    <row r="889" spans="9:10">
      <c r="I889" s="62" t="str">
        <f t="shared" si="27"/>
        <v/>
      </c>
      <c r="J889" s="63" t="str">
        <f t="shared" si="28"/>
        <v/>
      </c>
    </row>
    <row r="890" spans="9:10">
      <c r="I890" s="62" t="str">
        <f t="shared" si="27"/>
        <v/>
      </c>
      <c r="J890" s="63" t="str">
        <f t="shared" si="28"/>
        <v/>
      </c>
    </row>
    <row r="891" spans="9:10">
      <c r="I891" s="62" t="str">
        <f t="shared" si="27"/>
        <v/>
      </c>
      <c r="J891" s="63" t="str">
        <f t="shared" si="28"/>
        <v/>
      </c>
    </row>
    <row r="892" spans="9:10">
      <c r="I892" s="62" t="str">
        <f t="shared" si="27"/>
        <v/>
      </c>
      <c r="J892" s="63" t="str">
        <f t="shared" si="28"/>
        <v/>
      </c>
    </row>
    <row r="893" spans="9:10">
      <c r="I893" s="62" t="str">
        <f t="shared" si="27"/>
        <v/>
      </c>
      <c r="J893" s="63" t="str">
        <f t="shared" si="28"/>
        <v/>
      </c>
    </row>
    <row r="894" spans="9:10">
      <c r="I894" s="62" t="str">
        <f t="shared" si="27"/>
        <v/>
      </c>
      <c r="J894" s="63" t="str">
        <f t="shared" si="28"/>
        <v/>
      </c>
    </row>
    <row r="895" spans="9:10">
      <c r="I895" s="62" t="str">
        <f t="shared" si="27"/>
        <v/>
      </c>
      <c r="J895" s="63" t="str">
        <f t="shared" si="28"/>
        <v/>
      </c>
    </row>
    <row r="896" spans="9:10">
      <c r="I896" s="62" t="str">
        <f t="shared" si="27"/>
        <v/>
      </c>
      <c r="J896" s="63" t="str">
        <f t="shared" si="28"/>
        <v/>
      </c>
    </row>
    <row r="897" spans="9:10">
      <c r="I897" s="62" t="str">
        <f t="shared" si="27"/>
        <v/>
      </c>
      <c r="J897" s="63" t="str">
        <f t="shared" si="28"/>
        <v/>
      </c>
    </row>
    <row r="898" spans="9:10">
      <c r="I898" s="62" t="str">
        <f t="shared" si="27"/>
        <v/>
      </c>
      <c r="J898" s="63" t="str">
        <f t="shared" si="28"/>
        <v/>
      </c>
    </row>
    <row r="899" spans="9:10">
      <c r="I899" s="62" t="str">
        <f t="shared" si="27"/>
        <v/>
      </c>
      <c r="J899" s="63" t="str">
        <f t="shared" si="28"/>
        <v/>
      </c>
    </row>
    <row r="900" spans="9:10">
      <c r="I900" s="62" t="str">
        <f t="shared" si="27"/>
        <v/>
      </c>
      <c r="J900" s="63" t="str">
        <f t="shared" si="28"/>
        <v/>
      </c>
    </row>
    <row r="901" spans="9:10">
      <c r="I901" s="62" t="str">
        <f t="shared" si="27"/>
        <v/>
      </c>
      <c r="J901" s="63" t="str">
        <f t="shared" si="28"/>
        <v/>
      </c>
    </row>
    <row r="902" spans="9:10">
      <c r="I902" s="62" t="str">
        <f t="shared" si="27"/>
        <v/>
      </c>
      <c r="J902" s="63" t="str">
        <f t="shared" si="28"/>
        <v/>
      </c>
    </row>
    <row r="903" spans="9:10">
      <c r="I903" s="62" t="str">
        <f t="shared" si="27"/>
        <v/>
      </c>
      <c r="J903" s="63" t="str">
        <f t="shared" si="28"/>
        <v/>
      </c>
    </row>
    <row r="904" spans="9:10">
      <c r="I904" s="62" t="str">
        <f t="shared" si="27"/>
        <v/>
      </c>
      <c r="J904" s="63" t="str">
        <f t="shared" si="28"/>
        <v/>
      </c>
    </row>
    <row r="905" spans="9:10">
      <c r="I905" s="62" t="str">
        <f t="shared" si="27"/>
        <v/>
      </c>
      <c r="J905" s="63" t="str">
        <f t="shared" si="28"/>
        <v/>
      </c>
    </row>
    <row r="906" spans="9:10">
      <c r="I906" s="62" t="str">
        <f t="shared" si="27"/>
        <v/>
      </c>
      <c r="J906" s="63" t="str">
        <f t="shared" si="28"/>
        <v/>
      </c>
    </row>
    <row r="907" spans="9:10">
      <c r="I907" s="62" t="str">
        <f t="shared" si="27"/>
        <v/>
      </c>
      <c r="J907" s="63" t="str">
        <f t="shared" si="28"/>
        <v/>
      </c>
    </row>
    <row r="908" spans="9:10">
      <c r="I908" s="62" t="str">
        <f t="shared" ref="I908:I971" si="29">IF(B908="","",IF(B908="Total",I906,IF(B906="Total",I906, IF(ISNUMBER(A908),A908,I907))))</f>
        <v/>
      </c>
      <c r="J908" s="63" t="str">
        <f t="shared" si="28"/>
        <v/>
      </c>
    </row>
    <row r="909" spans="9:10">
      <c r="I909" s="62" t="str">
        <f t="shared" si="29"/>
        <v/>
      </c>
      <c r="J909" s="63" t="str">
        <f t="shared" si="28"/>
        <v/>
      </c>
    </row>
    <row r="910" spans="9:10">
      <c r="I910" s="62" t="str">
        <f t="shared" si="29"/>
        <v/>
      </c>
      <c r="J910" s="63" t="str">
        <f t="shared" si="28"/>
        <v/>
      </c>
    </row>
    <row r="911" spans="9:10">
      <c r="I911" s="62" t="str">
        <f t="shared" si="29"/>
        <v/>
      </c>
      <c r="J911" s="63" t="str">
        <f t="shared" ref="J911:J974" si="30">IF(B911="","",IF(B911="Total",J909,IF(B909="Total",J909,IF(A911="",J910,IF(ISNUMBER(A910),B910,IF(ISNUMBER(A911),B911,J910))))))</f>
        <v/>
      </c>
    </row>
    <row r="912" spans="9:10">
      <c r="I912" s="62" t="str">
        <f t="shared" si="29"/>
        <v/>
      </c>
      <c r="J912" s="63" t="str">
        <f t="shared" si="30"/>
        <v/>
      </c>
    </row>
    <row r="913" spans="9:10">
      <c r="I913" s="62" t="str">
        <f t="shared" si="29"/>
        <v/>
      </c>
      <c r="J913" s="63" t="str">
        <f t="shared" si="30"/>
        <v/>
      </c>
    </row>
    <row r="914" spans="9:10">
      <c r="I914" s="62" t="str">
        <f t="shared" si="29"/>
        <v/>
      </c>
      <c r="J914" s="63" t="str">
        <f t="shared" si="30"/>
        <v/>
      </c>
    </row>
    <row r="915" spans="9:10">
      <c r="I915" s="62" t="str">
        <f t="shared" si="29"/>
        <v/>
      </c>
      <c r="J915" s="63" t="str">
        <f t="shared" si="30"/>
        <v/>
      </c>
    </row>
    <row r="916" spans="9:10">
      <c r="I916" s="62" t="str">
        <f t="shared" si="29"/>
        <v/>
      </c>
      <c r="J916" s="63" t="str">
        <f t="shared" si="30"/>
        <v/>
      </c>
    </row>
    <row r="917" spans="9:10">
      <c r="I917" s="62" t="str">
        <f t="shared" si="29"/>
        <v/>
      </c>
      <c r="J917" s="63" t="str">
        <f t="shared" si="30"/>
        <v/>
      </c>
    </row>
    <row r="918" spans="9:10">
      <c r="I918" s="62" t="str">
        <f t="shared" si="29"/>
        <v/>
      </c>
      <c r="J918" s="63" t="str">
        <f t="shared" si="30"/>
        <v/>
      </c>
    </row>
    <row r="919" spans="9:10">
      <c r="I919" s="62" t="str">
        <f t="shared" si="29"/>
        <v/>
      </c>
      <c r="J919" s="63" t="str">
        <f t="shared" si="30"/>
        <v/>
      </c>
    </row>
    <row r="920" spans="9:10">
      <c r="I920" s="62" t="str">
        <f t="shared" si="29"/>
        <v/>
      </c>
      <c r="J920" s="63" t="str">
        <f t="shared" si="30"/>
        <v/>
      </c>
    </row>
    <row r="921" spans="9:10">
      <c r="I921" s="62" t="str">
        <f t="shared" si="29"/>
        <v/>
      </c>
      <c r="J921" s="63" t="str">
        <f t="shared" si="30"/>
        <v/>
      </c>
    </row>
    <row r="922" spans="9:10">
      <c r="I922" s="62" t="str">
        <f t="shared" si="29"/>
        <v/>
      </c>
      <c r="J922" s="63" t="str">
        <f t="shared" si="30"/>
        <v/>
      </c>
    </row>
    <row r="923" spans="9:10">
      <c r="I923" s="62" t="str">
        <f t="shared" si="29"/>
        <v/>
      </c>
      <c r="J923" s="63" t="str">
        <f t="shared" si="30"/>
        <v/>
      </c>
    </row>
    <row r="924" spans="9:10">
      <c r="I924" s="62" t="str">
        <f t="shared" si="29"/>
        <v/>
      </c>
      <c r="J924" s="63" t="str">
        <f t="shared" si="30"/>
        <v/>
      </c>
    </row>
    <row r="925" spans="9:10">
      <c r="I925" s="62" t="str">
        <f t="shared" si="29"/>
        <v/>
      </c>
      <c r="J925" s="63" t="str">
        <f t="shared" si="30"/>
        <v/>
      </c>
    </row>
    <row r="926" spans="9:10">
      <c r="I926" s="62" t="str">
        <f t="shared" si="29"/>
        <v/>
      </c>
      <c r="J926" s="63" t="str">
        <f t="shared" si="30"/>
        <v/>
      </c>
    </row>
    <row r="927" spans="9:10">
      <c r="I927" s="62" t="str">
        <f t="shared" si="29"/>
        <v/>
      </c>
      <c r="J927" s="63" t="str">
        <f t="shared" si="30"/>
        <v/>
      </c>
    </row>
    <row r="928" spans="9:10">
      <c r="I928" s="62" t="str">
        <f t="shared" si="29"/>
        <v/>
      </c>
      <c r="J928" s="63" t="str">
        <f t="shared" si="30"/>
        <v/>
      </c>
    </row>
    <row r="929" spans="9:10">
      <c r="I929" s="62" t="str">
        <f t="shared" si="29"/>
        <v/>
      </c>
      <c r="J929" s="63" t="str">
        <f t="shared" si="30"/>
        <v/>
      </c>
    </row>
    <row r="930" spans="9:10">
      <c r="I930" s="62" t="str">
        <f t="shared" si="29"/>
        <v/>
      </c>
      <c r="J930" s="63" t="str">
        <f t="shared" si="30"/>
        <v/>
      </c>
    </row>
    <row r="931" spans="9:10">
      <c r="I931" s="62" t="str">
        <f t="shared" si="29"/>
        <v/>
      </c>
      <c r="J931" s="63" t="str">
        <f t="shared" si="30"/>
        <v/>
      </c>
    </row>
    <row r="932" spans="9:10">
      <c r="I932" s="62" t="str">
        <f t="shared" si="29"/>
        <v/>
      </c>
      <c r="J932" s="63" t="str">
        <f t="shared" si="30"/>
        <v/>
      </c>
    </row>
    <row r="933" spans="9:10">
      <c r="I933" s="62" t="str">
        <f t="shared" si="29"/>
        <v/>
      </c>
      <c r="J933" s="63" t="str">
        <f t="shared" si="30"/>
        <v/>
      </c>
    </row>
    <row r="934" spans="9:10">
      <c r="I934" s="62" t="str">
        <f t="shared" si="29"/>
        <v/>
      </c>
      <c r="J934" s="63" t="str">
        <f t="shared" si="30"/>
        <v/>
      </c>
    </row>
    <row r="935" spans="9:10">
      <c r="I935" s="62" t="str">
        <f t="shared" si="29"/>
        <v/>
      </c>
      <c r="J935" s="63" t="str">
        <f t="shared" si="30"/>
        <v/>
      </c>
    </row>
    <row r="936" spans="9:10">
      <c r="I936" s="62" t="str">
        <f t="shared" si="29"/>
        <v/>
      </c>
      <c r="J936" s="63" t="str">
        <f t="shared" si="30"/>
        <v/>
      </c>
    </row>
    <row r="937" spans="9:10">
      <c r="I937" s="62" t="str">
        <f t="shared" si="29"/>
        <v/>
      </c>
      <c r="J937" s="63" t="str">
        <f t="shared" si="30"/>
        <v/>
      </c>
    </row>
    <row r="938" spans="9:10">
      <c r="I938" s="62" t="str">
        <f t="shared" si="29"/>
        <v/>
      </c>
      <c r="J938" s="63" t="str">
        <f t="shared" si="30"/>
        <v/>
      </c>
    </row>
    <row r="939" spans="9:10">
      <c r="I939" s="62" t="str">
        <f t="shared" si="29"/>
        <v/>
      </c>
      <c r="J939" s="63" t="str">
        <f t="shared" si="30"/>
        <v/>
      </c>
    </row>
    <row r="940" spans="9:10">
      <c r="I940" s="62" t="str">
        <f t="shared" si="29"/>
        <v/>
      </c>
      <c r="J940" s="63" t="str">
        <f t="shared" si="30"/>
        <v/>
      </c>
    </row>
    <row r="941" spans="9:10">
      <c r="I941" s="62" t="str">
        <f t="shared" si="29"/>
        <v/>
      </c>
      <c r="J941" s="63" t="str">
        <f t="shared" si="30"/>
        <v/>
      </c>
    </row>
    <row r="942" spans="9:10">
      <c r="I942" s="62" t="str">
        <f t="shared" si="29"/>
        <v/>
      </c>
      <c r="J942" s="63" t="str">
        <f t="shared" si="30"/>
        <v/>
      </c>
    </row>
    <row r="943" spans="9:10">
      <c r="I943" s="62" t="str">
        <f t="shared" si="29"/>
        <v/>
      </c>
      <c r="J943" s="63" t="str">
        <f t="shared" si="30"/>
        <v/>
      </c>
    </row>
    <row r="944" spans="9:10">
      <c r="I944" s="62" t="str">
        <f t="shared" si="29"/>
        <v/>
      </c>
      <c r="J944" s="63" t="str">
        <f t="shared" si="30"/>
        <v/>
      </c>
    </row>
    <row r="945" spans="9:10">
      <c r="I945" s="62" t="str">
        <f t="shared" si="29"/>
        <v/>
      </c>
      <c r="J945" s="63" t="str">
        <f t="shared" si="30"/>
        <v/>
      </c>
    </row>
    <row r="946" spans="9:10">
      <c r="I946" s="62" t="str">
        <f t="shared" si="29"/>
        <v/>
      </c>
      <c r="J946" s="63" t="str">
        <f t="shared" si="30"/>
        <v/>
      </c>
    </row>
    <row r="947" spans="9:10">
      <c r="I947" s="62" t="str">
        <f t="shared" si="29"/>
        <v/>
      </c>
      <c r="J947" s="63" t="str">
        <f t="shared" si="30"/>
        <v/>
      </c>
    </row>
    <row r="948" spans="9:10">
      <c r="I948" s="62" t="str">
        <f t="shared" si="29"/>
        <v/>
      </c>
      <c r="J948" s="63" t="str">
        <f t="shared" si="30"/>
        <v/>
      </c>
    </row>
    <row r="949" spans="9:10">
      <c r="I949" s="62" t="str">
        <f t="shared" si="29"/>
        <v/>
      </c>
      <c r="J949" s="63" t="str">
        <f t="shared" si="30"/>
        <v/>
      </c>
    </row>
    <row r="950" spans="9:10">
      <c r="I950" s="62" t="str">
        <f t="shared" si="29"/>
        <v/>
      </c>
      <c r="J950" s="63" t="str">
        <f t="shared" si="30"/>
        <v/>
      </c>
    </row>
    <row r="951" spans="9:10">
      <c r="I951" s="62" t="str">
        <f t="shared" si="29"/>
        <v/>
      </c>
      <c r="J951" s="63" t="str">
        <f t="shared" si="30"/>
        <v/>
      </c>
    </row>
    <row r="952" spans="9:10">
      <c r="I952" s="62" t="str">
        <f t="shared" si="29"/>
        <v/>
      </c>
      <c r="J952" s="63" t="str">
        <f t="shared" si="30"/>
        <v/>
      </c>
    </row>
    <row r="953" spans="9:10">
      <c r="I953" s="62" t="str">
        <f t="shared" si="29"/>
        <v/>
      </c>
      <c r="J953" s="63" t="str">
        <f t="shared" si="30"/>
        <v/>
      </c>
    </row>
    <row r="954" spans="9:10">
      <c r="I954" s="62" t="str">
        <f t="shared" si="29"/>
        <v/>
      </c>
      <c r="J954" s="63" t="str">
        <f t="shared" si="30"/>
        <v/>
      </c>
    </row>
    <row r="955" spans="9:10">
      <c r="I955" s="62" t="str">
        <f t="shared" si="29"/>
        <v/>
      </c>
      <c r="J955" s="63" t="str">
        <f t="shared" si="30"/>
        <v/>
      </c>
    </row>
    <row r="956" spans="9:10">
      <c r="I956" s="62" t="str">
        <f t="shared" si="29"/>
        <v/>
      </c>
      <c r="J956" s="63" t="str">
        <f t="shared" si="30"/>
        <v/>
      </c>
    </row>
    <row r="957" spans="9:10">
      <c r="I957" s="62" t="str">
        <f t="shared" si="29"/>
        <v/>
      </c>
      <c r="J957" s="63" t="str">
        <f t="shared" si="30"/>
        <v/>
      </c>
    </row>
    <row r="958" spans="9:10">
      <c r="I958" s="62" t="str">
        <f t="shared" si="29"/>
        <v/>
      </c>
      <c r="J958" s="63" t="str">
        <f t="shared" si="30"/>
        <v/>
      </c>
    </row>
    <row r="959" spans="9:10">
      <c r="I959" s="62" t="str">
        <f t="shared" si="29"/>
        <v/>
      </c>
      <c r="J959" s="63" t="str">
        <f t="shared" si="30"/>
        <v/>
      </c>
    </row>
    <row r="960" spans="9:10">
      <c r="I960" s="62" t="str">
        <f t="shared" si="29"/>
        <v/>
      </c>
      <c r="J960" s="63" t="str">
        <f t="shared" si="30"/>
        <v/>
      </c>
    </row>
    <row r="961" spans="9:10">
      <c r="I961" s="62" t="str">
        <f t="shared" si="29"/>
        <v/>
      </c>
      <c r="J961" s="63" t="str">
        <f t="shared" si="30"/>
        <v/>
      </c>
    </row>
    <row r="962" spans="9:10">
      <c r="I962" s="62" t="str">
        <f t="shared" si="29"/>
        <v/>
      </c>
      <c r="J962" s="63" t="str">
        <f t="shared" si="30"/>
        <v/>
      </c>
    </row>
    <row r="963" spans="9:10">
      <c r="I963" s="62" t="str">
        <f t="shared" si="29"/>
        <v/>
      </c>
      <c r="J963" s="63" t="str">
        <f t="shared" si="30"/>
        <v/>
      </c>
    </row>
    <row r="964" spans="9:10">
      <c r="I964" s="62" t="str">
        <f t="shared" si="29"/>
        <v/>
      </c>
      <c r="J964" s="63" t="str">
        <f t="shared" si="30"/>
        <v/>
      </c>
    </row>
    <row r="965" spans="9:10">
      <c r="I965" s="62" t="str">
        <f t="shared" si="29"/>
        <v/>
      </c>
      <c r="J965" s="63" t="str">
        <f t="shared" si="30"/>
        <v/>
      </c>
    </row>
    <row r="966" spans="9:10">
      <c r="I966" s="62" t="str">
        <f t="shared" si="29"/>
        <v/>
      </c>
      <c r="J966" s="63" t="str">
        <f t="shared" si="30"/>
        <v/>
      </c>
    </row>
    <row r="967" spans="9:10">
      <c r="I967" s="62" t="str">
        <f t="shared" si="29"/>
        <v/>
      </c>
      <c r="J967" s="63" t="str">
        <f t="shared" si="30"/>
        <v/>
      </c>
    </row>
    <row r="968" spans="9:10">
      <c r="I968" s="62" t="str">
        <f t="shared" si="29"/>
        <v/>
      </c>
      <c r="J968" s="63" t="str">
        <f t="shared" si="30"/>
        <v/>
      </c>
    </row>
    <row r="969" spans="9:10">
      <c r="I969" s="62" t="str">
        <f t="shared" si="29"/>
        <v/>
      </c>
      <c r="J969" s="63" t="str">
        <f t="shared" si="30"/>
        <v/>
      </c>
    </row>
    <row r="970" spans="9:10">
      <c r="I970" s="62" t="str">
        <f t="shared" si="29"/>
        <v/>
      </c>
      <c r="J970" s="63" t="str">
        <f t="shared" si="30"/>
        <v/>
      </c>
    </row>
    <row r="971" spans="9:10">
      <c r="I971" s="62" t="str">
        <f t="shared" si="29"/>
        <v/>
      </c>
      <c r="J971" s="63" t="str">
        <f t="shared" si="30"/>
        <v/>
      </c>
    </row>
    <row r="972" spans="9:10">
      <c r="I972" s="62" t="str">
        <f t="shared" ref="I972:I1035" si="31">IF(B972="","",IF(B972="Total",I970,IF(B970="Total",I970, IF(ISNUMBER(A972),A972,I971))))</f>
        <v/>
      </c>
      <c r="J972" s="63" t="str">
        <f t="shared" si="30"/>
        <v/>
      </c>
    </row>
    <row r="973" spans="9:10">
      <c r="I973" s="62" t="str">
        <f t="shared" si="31"/>
        <v/>
      </c>
      <c r="J973" s="63" t="str">
        <f t="shared" si="30"/>
        <v/>
      </c>
    </row>
    <row r="974" spans="9:10">
      <c r="I974" s="62" t="str">
        <f t="shared" si="31"/>
        <v/>
      </c>
      <c r="J974" s="63" t="str">
        <f t="shared" si="30"/>
        <v/>
      </c>
    </row>
    <row r="975" spans="9:10">
      <c r="I975" s="62" t="str">
        <f t="shared" si="31"/>
        <v/>
      </c>
      <c r="J975" s="63" t="str">
        <f t="shared" ref="J975:J1038" si="32">IF(B975="","",IF(B975="Total",J973,IF(B973="Total",J973,IF(A975="",J974,IF(ISNUMBER(A974),B974,IF(ISNUMBER(A975),B975,J974))))))</f>
        <v/>
      </c>
    </row>
    <row r="976" spans="9:10">
      <c r="I976" s="62" t="str">
        <f t="shared" si="31"/>
        <v/>
      </c>
      <c r="J976" s="63" t="str">
        <f t="shared" si="32"/>
        <v/>
      </c>
    </row>
    <row r="977" spans="9:10">
      <c r="I977" s="62" t="str">
        <f t="shared" si="31"/>
        <v/>
      </c>
      <c r="J977" s="63" t="str">
        <f t="shared" si="32"/>
        <v/>
      </c>
    </row>
    <row r="978" spans="9:10">
      <c r="I978" s="62" t="str">
        <f t="shared" si="31"/>
        <v/>
      </c>
      <c r="J978" s="63" t="str">
        <f t="shared" si="32"/>
        <v/>
      </c>
    </row>
    <row r="979" spans="9:10">
      <c r="I979" s="62" t="str">
        <f t="shared" si="31"/>
        <v/>
      </c>
      <c r="J979" s="63" t="str">
        <f t="shared" si="32"/>
        <v/>
      </c>
    </row>
    <row r="980" spans="9:10">
      <c r="I980" s="62" t="str">
        <f t="shared" si="31"/>
        <v/>
      </c>
      <c r="J980" s="63" t="str">
        <f t="shared" si="32"/>
        <v/>
      </c>
    </row>
    <row r="981" spans="9:10">
      <c r="I981" s="62" t="str">
        <f t="shared" si="31"/>
        <v/>
      </c>
      <c r="J981" s="63" t="str">
        <f t="shared" si="32"/>
        <v/>
      </c>
    </row>
    <row r="982" spans="9:10">
      <c r="I982" s="62" t="str">
        <f t="shared" si="31"/>
        <v/>
      </c>
      <c r="J982" s="63" t="str">
        <f t="shared" si="32"/>
        <v/>
      </c>
    </row>
    <row r="983" spans="9:10">
      <c r="I983" s="62" t="str">
        <f t="shared" si="31"/>
        <v/>
      </c>
      <c r="J983" s="63" t="str">
        <f t="shared" si="32"/>
        <v/>
      </c>
    </row>
    <row r="984" spans="9:10">
      <c r="I984" s="62" t="str">
        <f t="shared" si="31"/>
        <v/>
      </c>
      <c r="J984" s="63" t="str">
        <f t="shared" si="32"/>
        <v/>
      </c>
    </row>
    <row r="985" spans="9:10">
      <c r="I985" s="62" t="str">
        <f t="shared" si="31"/>
        <v/>
      </c>
      <c r="J985" s="63" t="str">
        <f t="shared" si="32"/>
        <v/>
      </c>
    </row>
    <row r="986" spans="9:10">
      <c r="I986" s="62" t="str">
        <f t="shared" si="31"/>
        <v/>
      </c>
      <c r="J986" s="63" t="str">
        <f t="shared" si="32"/>
        <v/>
      </c>
    </row>
    <row r="987" spans="9:10">
      <c r="I987" s="62" t="str">
        <f t="shared" si="31"/>
        <v/>
      </c>
      <c r="J987" s="63" t="str">
        <f t="shared" si="32"/>
        <v/>
      </c>
    </row>
    <row r="988" spans="9:10">
      <c r="I988" s="62" t="str">
        <f t="shared" si="31"/>
        <v/>
      </c>
      <c r="J988" s="63" t="str">
        <f t="shared" si="32"/>
        <v/>
      </c>
    </row>
    <row r="989" spans="9:10">
      <c r="I989" s="62" t="str">
        <f t="shared" si="31"/>
        <v/>
      </c>
      <c r="J989" s="63" t="str">
        <f t="shared" si="32"/>
        <v/>
      </c>
    </row>
    <row r="990" spans="9:10">
      <c r="I990" s="62" t="str">
        <f t="shared" si="31"/>
        <v/>
      </c>
      <c r="J990" s="63" t="str">
        <f t="shared" si="32"/>
        <v/>
      </c>
    </row>
    <row r="991" spans="9:10">
      <c r="I991" s="62" t="str">
        <f t="shared" si="31"/>
        <v/>
      </c>
      <c r="J991" s="63" t="str">
        <f t="shared" si="32"/>
        <v/>
      </c>
    </row>
    <row r="992" spans="9:10">
      <c r="I992" s="62" t="str">
        <f t="shared" si="31"/>
        <v/>
      </c>
      <c r="J992" s="63" t="str">
        <f t="shared" si="32"/>
        <v/>
      </c>
    </row>
    <row r="993" spans="9:10">
      <c r="I993" s="62" t="str">
        <f t="shared" si="31"/>
        <v/>
      </c>
      <c r="J993" s="63" t="str">
        <f t="shared" si="32"/>
        <v/>
      </c>
    </row>
    <row r="994" spans="9:10">
      <c r="I994" s="62" t="str">
        <f t="shared" si="31"/>
        <v/>
      </c>
      <c r="J994" s="63" t="str">
        <f t="shared" si="32"/>
        <v/>
      </c>
    </row>
    <row r="995" spans="9:10">
      <c r="I995" s="62" t="str">
        <f t="shared" si="31"/>
        <v/>
      </c>
      <c r="J995" s="63" t="str">
        <f t="shared" si="32"/>
        <v/>
      </c>
    </row>
    <row r="996" spans="9:10">
      <c r="I996" s="62" t="str">
        <f t="shared" si="31"/>
        <v/>
      </c>
      <c r="J996" s="63" t="str">
        <f t="shared" si="32"/>
        <v/>
      </c>
    </row>
    <row r="997" spans="9:10">
      <c r="I997" s="62" t="str">
        <f t="shared" si="31"/>
        <v/>
      </c>
      <c r="J997" s="63" t="str">
        <f t="shared" si="32"/>
        <v/>
      </c>
    </row>
    <row r="998" spans="9:10">
      <c r="I998" s="62" t="str">
        <f t="shared" si="31"/>
        <v/>
      </c>
      <c r="J998" s="63" t="str">
        <f t="shared" si="32"/>
        <v/>
      </c>
    </row>
    <row r="999" spans="9:10">
      <c r="I999" s="62" t="str">
        <f t="shared" si="31"/>
        <v/>
      </c>
      <c r="J999" s="63" t="str">
        <f t="shared" si="32"/>
        <v/>
      </c>
    </row>
    <row r="1000" spans="9:10">
      <c r="I1000" s="62" t="str">
        <f t="shared" si="31"/>
        <v/>
      </c>
      <c r="J1000" s="63" t="str">
        <f t="shared" si="32"/>
        <v/>
      </c>
    </row>
    <row r="1001" spans="9:10">
      <c r="I1001" s="62" t="str">
        <f t="shared" si="31"/>
        <v/>
      </c>
      <c r="J1001" s="63" t="str">
        <f t="shared" si="32"/>
        <v/>
      </c>
    </row>
    <row r="1002" spans="9:10">
      <c r="I1002" s="62" t="str">
        <f t="shared" si="31"/>
        <v/>
      </c>
      <c r="J1002" s="63" t="str">
        <f t="shared" si="32"/>
        <v/>
      </c>
    </row>
    <row r="1003" spans="9:10">
      <c r="I1003" s="62" t="str">
        <f t="shared" si="31"/>
        <v/>
      </c>
      <c r="J1003" s="63" t="str">
        <f t="shared" si="32"/>
        <v/>
      </c>
    </row>
    <row r="1004" spans="9:10">
      <c r="I1004" s="62" t="str">
        <f t="shared" si="31"/>
        <v/>
      </c>
      <c r="J1004" s="63" t="str">
        <f t="shared" si="32"/>
        <v/>
      </c>
    </row>
    <row r="1005" spans="9:10">
      <c r="I1005" s="62" t="str">
        <f t="shared" si="31"/>
        <v/>
      </c>
      <c r="J1005" s="63" t="str">
        <f t="shared" si="32"/>
        <v/>
      </c>
    </row>
    <row r="1006" spans="9:10">
      <c r="I1006" s="62" t="str">
        <f t="shared" si="31"/>
        <v/>
      </c>
      <c r="J1006" s="63" t="str">
        <f t="shared" si="32"/>
        <v/>
      </c>
    </row>
    <row r="1007" spans="9:10">
      <c r="I1007" s="62" t="str">
        <f t="shared" si="31"/>
        <v/>
      </c>
      <c r="J1007" s="63" t="str">
        <f t="shared" si="32"/>
        <v/>
      </c>
    </row>
    <row r="1008" spans="9:10">
      <c r="I1008" s="62" t="str">
        <f t="shared" si="31"/>
        <v/>
      </c>
      <c r="J1008" s="63" t="str">
        <f t="shared" si="32"/>
        <v/>
      </c>
    </row>
    <row r="1009" spans="9:10">
      <c r="I1009" s="62" t="str">
        <f t="shared" si="31"/>
        <v/>
      </c>
      <c r="J1009" s="63" t="str">
        <f t="shared" si="32"/>
        <v/>
      </c>
    </row>
    <row r="1010" spans="9:10">
      <c r="I1010" s="62" t="str">
        <f t="shared" si="31"/>
        <v/>
      </c>
      <c r="J1010" s="63" t="str">
        <f t="shared" si="32"/>
        <v/>
      </c>
    </row>
    <row r="1011" spans="9:10">
      <c r="I1011" s="62" t="str">
        <f t="shared" si="31"/>
        <v/>
      </c>
      <c r="J1011" s="63" t="str">
        <f t="shared" si="32"/>
        <v/>
      </c>
    </row>
    <row r="1012" spans="9:10">
      <c r="I1012" s="62" t="str">
        <f t="shared" si="31"/>
        <v/>
      </c>
      <c r="J1012" s="63" t="str">
        <f t="shared" si="32"/>
        <v/>
      </c>
    </row>
    <row r="1013" spans="9:10">
      <c r="I1013" s="62" t="str">
        <f t="shared" si="31"/>
        <v/>
      </c>
      <c r="J1013" s="63" t="str">
        <f t="shared" si="32"/>
        <v/>
      </c>
    </row>
    <row r="1014" spans="9:10">
      <c r="I1014" s="62" t="str">
        <f t="shared" si="31"/>
        <v/>
      </c>
      <c r="J1014" s="63" t="str">
        <f t="shared" si="32"/>
        <v/>
      </c>
    </row>
    <row r="1015" spans="9:10">
      <c r="I1015" s="62" t="str">
        <f t="shared" si="31"/>
        <v/>
      </c>
      <c r="J1015" s="63" t="str">
        <f t="shared" si="32"/>
        <v/>
      </c>
    </row>
    <row r="1016" spans="9:10">
      <c r="I1016" s="62" t="str">
        <f t="shared" si="31"/>
        <v/>
      </c>
      <c r="J1016" s="63" t="str">
        <f t="shared" si="32"/>
        <v/>
      </c>
    </row>
    <row r="1017" spans="9:10">
      <c r="I1017" s="62" t="str">
        <f t="shared" si="31"/>
        <v/>
      </c>
      <c r="J1017" s="63" t="str">
        <f t="shared" si="32"/>
        <v/>
      </c>
    </row>
    <row r="1018" spans="9:10">
      <c r="I1018" s="62" t="str">
        <f t="shared" si="31"/>
        <v/>
      </c>
      <c r="J1018" s="63" t="str">
        <f t="shared" si="32"/>
        <v/>
      </c>
    </row>
    <row r="1019" spans="9:10">
      <c r="I1019" s="62" t="str">
        <f t="shared" si="31"/>
        <v/>
      </c>
      <c r="J1019" s="63" t="str">
        <f t="shared" si="32"/>
        <v/>
      </c>
    </row>
    <row r="1020" spans="9:10">
      <c r="I1020" s="62" t="str">
        <f t="shared" si="31"/>
        <v/>
      </c>
      <c r="J1020" s="63" t="str">
        <f t="shared" si="32"/>
        <v/>
      </c>
    </row>
    <row r="1021" spans="9:10">
      <c r="I1021" s="62" t="str">
        <f t="shared" si="31"/>
        <v/>
      </c>
      <c r="J1021" s="63" t="str">
        <f t="shared" si="32"/>
        <v/>
      </c>
    </row>
    <row r="1022" spans="9:10">
      <c r="I1022" s="62" t="str">
        <f t="shared" si="31"/>
        <v/>
      </c>
      <c r="J1022" s="63" t="str">
        <f t="shared" si="32"/>
        <v/>
      </c>
    </row>
    <row r="1023" spans="9:10">
      <c r="I1023" s="62" t="str">
        <f t="shared" si="31"/>
        <v/>
      </c>
      <c r="J1023" s="63" t="str">
        <f t="shared" si="32"/>
        <v/>
      </c>
    </row>
    <row r="1024" spans="9:10">
      <c r="I1024" s="62" t="str">
        <f t="shared" si="31"/>
        <v/>
      </c>
      <c r="J1024" s="63" t="str">
        <f t="shared" si="32"/>
        <v/>
      </c>
    </row>
    <row r="1025" spans="9:10">
      <c r="I1025" s="62" t="str">
        <f t="shared" si="31"/>
        <v/>
      </c>
      <c r="J1025" s="63" t="str">
        <f t="shared" si="32"/>
        <v/>
      </c>
    </row>
    <row r="1026" spans="9:10">
      <c r="I1026" s="62" t="str">
        <f t="shared" si="31"/>
        <v/>
      </c>
      <c r="J1026" s="63" t="str">
        <f t="shared" si="32"/>
        <v/>
      </c>
    </row>
    <row r="1027" spans="9:10">
      <c r="I1027" s="62" t="str">
        <f t="shared" si="31"/>
        <v/>
      </c>
      <c r="J1027" s="63" t="str">
        <f t="shared" si="32"/>
        <v/>
      </c>
    </row>
    <row r="1028" spans="9:10">
      <c r="I1028" s="62" t="str">
        <f t="shared" si="31"/>
        <v/>
      </c>
      <c r="J1028" s="63" t="str">
        <f t="shared" si="32"/>
        <v/>
      </c>
    </row>
    <row r="1029" spans="9:10">
      <c r="I1029" s="62" t="str">
        <f t="shared" si="31"/>
        <v/>
      </c>
      <c r="J1029" s="63" t="str">
        <f t="shared" si="32"/>
        <v/>
      </c>
    </row>
    <row r="1030" spans="9:10">
      <c r="I1030" s="62" t="str">
        <f t="shared" si="31"/>
        <v/>
      </c>
      <c r="J1030" s="63" t="str">
        <f t="shared" si="32"/>
        <v/>
      </c>
    </row>
    <row r="1031" spans="9:10">
      <c r="I1031" s="62" t="str">
        <f t="shared" si="31"/>
        <v/>
      </c>
      <c r="J1031" s="63" t="str">
        <f t="shared" si="32"/>
        <v/>
      </c>
    </row>
    <row r="1032" spans="9:10">
      <c r="I1032" s="62" t="str">
        <f t="shared" si="31"/>
        <v/>
      </c>
      <c r="J1032" s="63" t="str">
        <f t="shared" si="32"/>
        <v/>
      </c>
    </row>
    <row r="1033" spans="9:10">
      <c r="I1033" s="62" t="str">
        <f t="shared" si="31"/>
        <v/>
      </c>
      <c r="J1033" s="63" t="str">
        <f t="shared" si="32"/>
        <v/>
      </c>
    </row>
    <row r="1034" spans="9:10">
      <c r="I1034" s="62" t="str">
        <f t="shared" si="31"/>
        <v/>
      </c>
      <c r="J1034" s="63" t="str">
        <f t="shared" si="32"/>
        <v/>
      </c>
    </row>
    <row r="1035" spans="9:10">
      <c r="I1035" s="62" t="str">
        <f t="shared" si="31"/>
        <v/>
      </c>
      <c r="J1035" s="63" t="str">
        <f t="shared" si="32"/>
        <v/>
      </c>
    </row>
    <row r="1036" spans="9:10">
      <c r="I1036" s="62" t="str">
        <f t="shared" ref="I1036:I1099" si="33">IF(B1036="","",IF(B1036="Total",I1034,IF(B1034="Total",I1034, IF(ISNUMBER(A1036),A1036,I1035))))</f>
        <v/>
      </c>
      <c r="J1036" s="63" t="str">
        <f t="shared" si="32"/>
        <v/>
      </c>
    </row>
    <row r="1037" spans="9:10">
      <c r="I1037" s="62" t="str">
        <f t="shared" si="33"/>
        <v/>
      </c>
      <c r="J1037" s="63" t="str">
        <f t="shared" si="32"/>
        <v/>
      </c>
    </row>
    <row r="1038" spans="9:10">
      <c r="I1038" s="62" t="str">
        <f t="shared" si="33"/>
        <v/>
      </c>
      <c r="J1038" s="63" t="str">
        <f t="shared" si="32"/>
        <v/>
      </c>
    </row>
    <row r="1039" spans="9:10">
      <c r="I1039" s="62" t="str">
        <f t="shared" si="33"/>
        <v/>
      </c>
      <c r="J1039" s="63" t="str">
        <f t="shared" ref="J1039:J1102" si="34">IF(B1039="","",IF(B1039="Total",J1037,IF(B1037="Total",J1037,IF(A1039="",J1038,IF(ISNUMBER(A1038),B1038,IF(ISNUMBER(A1039),B1039,J1038))))))</f>
        <v/>
      </c>
    </row>
    <row r="1040" spans="9:10">
      <c r="I1040" s="62" t="str">
        <f t="shared" si="33"/>
        <v/>
      </c>
      <c r="J1040" s="63" t="str">
        <f t="shared" si="34"/>
        <v/>
      </c>
    </row>
    <row r="1041" spans="9:10">
      <c r="I1041" s="62" t="str">
        <f t="shared" si="33"/>
        <v/>
      </c>
      <c r="J1041" s="63" t="str">
        <f t="shared" si="34"/>
        <v/>
      </c>
    </row>
    <row r="1042" spans="9:10">
      <c r="I1042" s="62" t="str">
        <f t="shared" si="33"/>
        <v/>
      </c>
      <c r="J1042" s="63" t="str">
        <f t="shared" si="34"/>
        <v/>
      </c>
    </row>
    <row r="1043" spans="9:10">
      <c r="I1043" s="62" t="str">
        <f t="shared" si="33"/>
        <v/>
      </c>
      <c r="J1043" s="63" t="str">
        <f t="shared" si="34"/>
        <v/>
      </c>
    </row>
    <row r="1044" spans="9:10">
      <c r="I1044" s="62" t="str">
        <f t="shared" si="33"/>
        <v/>
      </c>
      <c r="J1044" s="63" t="str">
        <f t="shared" si="34"/>
        <v/>
      </c>
    </row>
    <row r="1045" spans="9:10">
      <c r="I1045" s="62" t="str">
        <f t="shared" si="33"/>
        <v/>
      </c>
      <c r="J1045" s="63" t="str">
        <f t="shared" si="34"/>
        <v/>
      </c>
    </row>
    <row r="1046" spans="9:10">
      <c r="I1046" s="62" t="str">
        <f t="shared" si="33"/>
        <v/>
      </c>
      <c r="J1046" s="63" t="str">
        <f t="shared" si="34"/>
        <v/>
      </c>
    </row>
    <row r="1047" spans="9:10">
      <c r="I1047" s="62" t="str">
        <f t="shared" si="33"/>
        <v/>
      </c>
      <c r="J1047" s="63" t="str">
        <f t="shared" si="34"/>
        <v/>
      </c>
    </row>
    <row r="1048" spans="9:10">
      <c r="I1048" s="62" t="str">
        <f t="shared" si="33"/>
        <v/>
      </c>
      <c r="J1048" s="63" t="str">
        <f t="shared" si="34"/>
        <v/>
      </c>
    </row>
    <row r="1049" spans="9:10">
      <c r="I1049" s="62" t="str">
        <f t="shared" si="33"/>
        <v/>
      </c>
      <c r="J1049" s="63" t="str">
        <f t="shared" si="34"/>
        <v/>
      </c>
    </row>
    <row r="1050" spans="9:10">
      <c r="I1050" s="62" t="str">
        <f t="shared" si="33"/>
        <v/>
      </c>
      <c r="J1050" s="63" t="str">
        <f t="shared" si="34"/>
        <v/>
      </c>
    </row>
    <row r="1051" spans="9:10">
      <c r="I1051" s="62" t="str">
        <f t="shared" si="33"/>
        <v/>
      </c>
      <c r="J1051" s="63" t="str">
        <f t="shared" si="34"/>
        <v/>
      </c>
    </row>
    <row r="1052" spans="9:10">
      <c r="I1052" s="62" t="str">
        <f t="shared" si="33"/>
        <v/>
      </c>
      <c r="J1052" s="63" t="str">
        <f t="shared" si="34"/>
        <v/>
      </c>
    </row>
    <row r="1053" spans="9:10">
      <c r="I1053" s="62" t="str">
        <f t="shared" si="33"/>
        <v/>
      </c>
      <c r="J1053" s="63" t="str">
        <f t="shared" si="34"/>
        <v/>
      </c>
    </row>
    <row r="1054" spans="9:10">
      <c r="I1054" s="62" t="str">
        <f t="shared" si="33"/>
        <v/>
      </c>
      <c r="J1054" s="63" t="str">
        <f t="shared" si="34"/>
        <v/>
      </c>
    </row>
    <row r="1055" spans="9:10">
      <c r="I1055" s="62" t="str">
        <f t="shared" si="33"/>
        <v/>
      </c>
      <c r="J1055" s="63" t="str">
        <f t="shared" si="34"/>
        <v/>
      </c>
    </row>
    <row r="1056" spans="9:10">
      <c r="I1056" s="62" t="str">
        <f t="shared" si="33"/>
        <v/>
      </c>
      <c r="J1056" s="63" t="str">
        <f t="shared" si="34"/>
        <v/>
      </c>
    </row>
    <row r="1057" spans="9:10">
      <c r="I1057" s="62" t="str">
        <f t="shared" si="33"/>
        <v/>
      </c>
      <c r="J1057" s="63" t="str">
        <f t="shared" si="34"/>
        <v/>
      </c>
    </row>
    <row r="1058" spans="9:10">
      <c r="I1058" s="62" t="str">
        <f t="shared" si="33"/>
        <v/>
      </c>
      <c r="J1058" s="63" t="str">
        <f t="shared" si="34"/>
        <v/>
      </c>
    </row>
    <row r="1059" spans="9:10">
      <c r="I1059" s="62" t="str">
        <f t="shared" si="33"/>
        <v/>
      </c>
      <c r="J1059" s="63" t="str">
        <f t="shared" si="34"/>
        <v/>
      </c>
    </row>
    <row r="1060" spans="9:10">
      <c r="I1060" s="62" t="str">
        <f t="shared" si="33"/>
        <v/>
      </c>
      <c r="J1060" s="63" t="str">
        <f t="shared" si="34"/>
        <v/>
      </c>
    </row>
    <row r="1061" spans="9:10">
      <c r="I1061" s="62" t="str">
        <f t="shared" si="33"/>
        <v/>
      </c>
      <c r="J1061" s="63" t="str">
        <f t="shared" si="34"/>
        <v/>
      </c>
    </row>
    <row r="1062" spans="9:10">
      <c r="I1062" s="62" t="str">
        <f t="shared" si="33"/>
        <v/>
      </c>
      <c r="J1062" s="63" t="str">
        <f t="shared" si="34"/>
        <v/>
      </c>
    </row>
    <row r="1063" spans="9:10">
      <c r="I1063" s="62" t="str">
        <f t="shared" si="33"/>
        <v/>
      </c>
      <c r="J1063" s="63" t="str">
        <f t="shared" si="34"/>
        <v/>
      </c>
    </row>
    <row r="1064" spans="9:10">
      <c r="I1064" s="62" t="str">
        <f t="shared" si="33"/>
        <v/>
      </c>
      <c r="J1064" s="63" t="str">
        <f t="shared" si="34"/>
        <v/>
      </c>
    </row>
    <row r="1065" spans="9:10">
      <c r="I1065" s="62" t="str">
        <f t="shared" si="33"/>
        <v/>
      </c>
      <c r="J1065" s="63" t="str">
        <f t="shared" si="34"/>
        <v/>
      </c>
    </row>
    <row r="1066" spans="9:10">
      <c r="I1066" s="62" t="str">
        <f t="shared" si="33"/>
        <v/>
      </c>
      <c r="J1066" s="63" t="str">
        <f t="shared" si="34"/>
        <v/>
      </c>
    </row>
    <row r="1067" spans="9:10">
      <c r="I1067" s="62" t="str">
        <f t="shared" si="33"/>
        <v/>
      </c>
      <c r="J1067" s="63" t="str">
        <f t="shared" si="34"/>
        <v/>
      </c>
    </row>
    <row r="1068" spans="9:10">
      <c r="I1068" s="62" t="str">
        <f t="shared" si="33"/>
        <v/>
      </c>
      <c r="J1068" s="63" t="str">
        <f t="shared" si="34"/>
        <v/>
      </c>
    </row>
    <row r="1069" spans="9:10">
      <c r="I1069" s="62" t="str">
        <f t="shared" si="33"/>
        <v/>
      </c>
      <c r="J1069" s="63" t="str">
        <f t="shared" si="34"/>
        <v/>
      </c>
    </row>
    <row r="1070" spans="9:10">
      <c r="I1070" s="62" t="str">
        <f t="shared" si="33"/>
        <v/>
      </c>
      <c r="J1070" s="63" t="str">
        <f t="shared" si="34"/>
        <v/>
      </c>
    </row>
    <row r="1071" spans="9:10">
      <c r="I1071" s="62" t="str">
        <f t="shared" si="33"/>
        <v/>
      </c>
      <c r="J1071" s="63" t="str">
        <f t="shared" si="34"/>
        <v/>
      </c>
    </row>
    <row r="1072" spans="9:10">
      <c r="I1072" s="62" t="str">
        <f t="shared" si="33"/>
        <v/>
      </c>
      <c r="J1072" s="63" t="str">
        <f t="shared" si="34"/>
        <v/>
      </c>
    </row>
    <row r="1073" spans="9:10">
      <c r="I1073" s="62" t="str">
        <f t="shared" si="33"/>
        <v/>
      </c>
      <c r="J1073" s="63" t="str">
        <f t="shared" si="34"/>
        <v/>
      </c>
    </row>
    <row r="1074" spans="9:10">
      <c r="I1074" s="62" t="str">
        <f t="shared" si="33"/>
        <v/>
      </c>
      <c r="J1074" s="63" t="str">
        <f t="shared" si="34"/>
        <v/>
      </c>
    </row>
    <row r="1075" spans="9:10">
      <c r="I1075" s="62" t="str">
        <f t="shared" si="33"/>
        <v/>
      </c>
      <c r="J1075" s="63" t="str">
        <f t="shared" si="34"/>
        <v/>
      </c>
    </row>
    <row r="1076" spans="9:10">
      <c r="I1076" s="62" t="str">
        <f t="shared" si="33"/>
        <v/>
      </c>
      <c r="J1076" s="63" t="str">
        <f t="shared" si="34"/>
        <v/>
      </c>
    </row>
    <row r="1077" spans="9:10">
      <c r="I1077" s="62" t="str">
        <f t="shared" si="33"/>
        <v/>
      </c>
      <c r="J1077" s="63" t="str">
        <f t="shared" si="34"/>
        <v/>
      </c>
    </row>
    <row r="1078" spans="9:10">
      <c r="I1078" s="62" t="str">
        <f t="shared" si="33"/>
        <v/>
      </c>
      <c r="J1078" s="63" t="str">
        <f t="shared" si="34"/>
        <v/>
      </c>
    </row>
    <row r="1079" spans="9:10">
      <c r="I1079" s="62" t="str">
        <f t="shared" si="33"/>
        <v/>
      </c>
      <c r="J1079" s="63" t="str">
        <f t="shared" si="34"/>
        <v/>
      </c>
    </row>
    <row r="1080" spans="9:10">
      <c r="I1080" s="62" t="str">
        <f t="shared" si="33"/>
        <v/>
      </c>
      <c r="J1080" s="63" t="str">
        <f t="shared" si="34"/>
        <v/>
      </c>
    </row>
    <row r="1081" spans="9:10">
      <c r="I1081" s="62" t="str">
        <f t="shared" si="33"/>
        <v/>
      </c>
      <c r="J1081" s="63" t="str">
        <f t="shared" si="34"/>
        <v/>
      </c>
    </row>
    <row r="1082" spans="9:10">
      <c r="I1082" s="62" t="str">
        <f t="shared" si="33"/>
        <v/>
      </c>
      <c r="J1082" s="63" t="str">
        <f t="shared" si="34"/>
        <v/>
      </c>
    </row>
    <row r="1083" spans="9:10">
      <c r="I1083" s="62" t="str">
        <f t="shared" si="33"/>
        <v/>
      </c>
      <c r="J1083" s="63" t="str">
        <f t="shared" si="34"/>
        <v/>
      </c>
    </row>
    <row r="1084" spans="9:10">
      <c r="I1084" s="62" t="str">
        <f t="shared" si="33"/>
        <v/>
      </c>
      <c r="J1084" s="63" t="str">
        <f t="shared" si="34"/>
        <v/>
      </c>
    </row>
    <row r="1085" spans="9:10">
      <c r="I1085" s="62" t="str">
        <f t="shared" si="33"/>
        <v/>
      </c>
      <c r="J1085" s="63" t="str">
        <f t="shared" si="34"/>
        <v/>
      </c>
    </row>
    <row r="1086" spans="9:10">
      <c r="I1086" s="62" t="str">
        <f t="shared" si="33"/>
        <v/>
      </c>
      <c r="J1086" s="63" t="str">
        <f t="shared" si="34"/>
        <v/>
      </c>
    </row>
    <row r="1087" spans="9:10">
      <c r="I1087" s="62" t="str">
        <f t="shared" si="33"/>
        <v/>
      </c>
      <c r="J1087" s="63" t="str">
        <f t="shared" si="34"/>
        <v/>
      </c>
    </row>
    <row r="1088" spans="9:10">
      <c r="I1088" s="62" t="str">
        <f t="shared" si="33"/>
        <v/>
      </c>
      <c r="J1088" s="63" t="str">
        <f t="shared" si="34"/>
        <v/>
      </c>
    </row>
    <row r="1089" spans="9:10">
      <c r="I1089" s="62" t="str">
        <f t="shared" si="33"/>
        <v/>
      </c>
      <c r="J1089" s="63" t="str">
        <f t="shared" si="34"/>
        <v/>
      </c>
    </row>
    <row r="1090" spans="9:10">
      <c r="I1090" s="62" t="str">
        <f t="shared" si="33"/>
        <v/>
      </c>
      <c r="J1090" s="63" t="str">
        <f t="shared" si="34"/>
        <v/>
      </c>
    </row>
    <row r="1091" spans="9:10">
      <c r="I1091" s="62" t="str">
        <f t="shared" si="33"/>
        <v/>
      </c>
      <c r="J1091" s="63" t="str">
        <f t="shared" si="34"/>
        <v/>
      </c>
    </row>
    <row r="1092" spans="9:10">
      <c r="I1092" s="62" t="str">
        <f t="shared" si="33"/>
        <v/>
      </c>
      <c r="J1092" s="63" t="str">
        <f t="shared" si="34"/>
        <v/>
      </c>
    </row>
    <row r="1093" spans="9:10">
      <c r="I1093" s="62" t="str">
        <f t="shared" si="33"/>
        <v/>
      </c>
      <c r="J1093" s="63" t="str">
        <f t="shared" si="34"/>
        <v/>
      </c>
    </row>
    <row r="1094" spans="9:10">
      <c r="I1094" s="62" t="str">
        <f t="shared" si="33"/>
        <v/>
      </c>
      <c r="J1094" s="63" t="str">
        <f t="shared" si="34"/>
        <v/>
      </c>
    </row>
    <row r="1095" spans="9:10">
      <c r="I1095" s="62" t="str">
        <f t="shared" si="33"/>
        <v/>
      </c>
      <c r="J1095" s="63" t="str">
        <f t="shared" si="34"/>
        <v/>
      </c>
    </row>
    <row r="1096" spans="9:10">
      <c r="I1096" s="62" t="str">
        <f t="shared" si="33"/>
        <v/>
      </c>
      <c r="J1096" s="63" t="str">
        <f t="shared" si="34"/>
        <v/>
      </c>
    </row>
    <row r="1097" spans="9:10">
      <c r="I1097" s="62" t="str">
        <f t="shared" si="33"/>
        <v/>
      </c>
      <c r="J1097" s="63" t="str">
        <f t="shared" si="34"/>
        <v/>
      </c>
    </row>
    <row r="1098" spans="9:10">
      <c r="I1098" s="62" t="str">
        <f t="shared" si="33"/>
        <v/>
      </c>
      <c r="J1098" s="63" t="str">
        <f t="shared" si="34"/>
        <v/>
      </c>
    </row>
    <row r="1099" spans="9:10">
      <c r="I1099" s="62" t="str">
        <f t="shared" si="33"/>
        <v/>
      </c>
      <c r="J1099" s="63" t="str">
        <f t="shared" si="34"/>
        <v/>
      </c>
    </row>
    <row r="1100" spans="9:10">
      <c r="I1100" s="62" t="str">
        <f t="shared" ref="I1100:I1163" si="35">IF(B1100="","",IF(B1100="Total",I1098,IF(B1098="Total",I1098, IF(ISNUMBER(A1100),A1100,I1099))))</f>
        <v/>
      </c>
      <c r="J1100" s="63" t="str">
        <f t="shared" si="34"/>
        <v/>
      </c>
    </row>
    <row r="1101" spans="9:10">
      <c r="I1101" s="62" t="str">
        <f t="shared" si="35"/>
        <v/>
      </c>
      <c r="J1101" s="63" t="str">
        <f t="shared" si="34"/>
        <v/>
      </c>
    </row>
    <row r="1102" spans="9:10">
      <c r="I1102" s="62" t="str">
        <f t="shared" si="35"/>
        <v/>
      </c>
      <c r="J1102" s="63" t="str">
        <f t="shared" si="34"/>
        <v/>
      </c>
    </row>
    <row r="1103" spans="9:10">
      <c r="I1103" s="62" t="str">
        <f t="shared" si="35"/>
        <v/>
      </c>
      <c r="J1103" s="63" t="str">
        <f t="shared" ref="J1103:J1166" si="36">IF(B1103="","",IF(B1103="Total",J1101,IF(B1101="Total",J1101,IF(A1103="",J1102,IF(ISNUMBER(A1102),B1102,IF(ISNUMBER(A1103),B1103,J1102))))))</f>
        <v/>
      </c>
    </row>
    <row r="1104" spans="9:10">
      <c r="I1104" s="62" t="str">
        <f t="shared" si="35"/>
        <v/>
      </c>
      <c r="J1104" s="63" t="str">
        <f t="shared" si="36"/>
        <v/>
      </c>
    </row>
    <row r="1105" spans="9:10">
      <c r="I1105" s="62" t="str">
        <f t="shared" si="35"/>
        <v/>
      </c>
      <c r="J1105" s="63" t="str">
        <f t="shared" si="36"/>
        <v/>
      </c>
    </row>
    <row r="1106" spans="9:10">
      <c r="I1106" s="62" t="str">
        <f t="shared" si="35"/>
        <v/>
      </c>
      <c r="J1106" s="63" t="str">
        <f t="shared" si="36"/>
        <v/>
      </c>
    </row>
    <row r="1107" spans="9:10">
      <c r="I1107" s="62" t="str">
        <f t="shared" si="35"/>
        <v/>
      </c>
      <c r="J1107" s="63" t="str">
        <f t="shared" si="36"/>
        <v/>
      </c>
    </row>
    <row r="1108" spans="9:10">
      <c r="I1108" s="62" t="str">
        <f t="shared" si="35"/>
        <v/>
      </c>
      <c r="J1108" s="63" t="str">
        <f t="shared" si="36"/>
        <v/>
      </c>
    </row>
    <row r="1109" spans="9:10">
      <c r="I1109" s="62" t="str">
        <f t="shared" si="35"/>
        <v/>
      </c>
      <c r="J1109" s="63" t="str">
        <f t="shared" si="36"/>
        <v/>
      </c>
    </row>
    <row r="1110" spans="9:10">
      <c r="I1110" s="62" t="str">
        <f t="shared" si="35"/>
        <v/>
      </c>
      <c r="J1110" s="63" t="str">
        <f t="shared" si="36"/>
        <v/>
      </c>
    </row>
    <row r="1111" spans="9:10">
      <c r="I1111" s="62" t="str">
        <f t="shared" si="35"/>
        <v/>
      </c>
      <c r="J1111" s="63" t="str">
        <f t="shared" si="36"/>
        <v/>
      </c>
    </row>
    <row r="1112" spans="9:10">
      <c r="I1112" s="62" t="str">
        <f t="shared" si="35"/>
        <v/>
      </c>
      <c r="J1112" s="63" t="str">
        <f t="shared" si="36"/>
        <v/>
      </c>
    </row>
    <row r="1113" spans="9:10">
      <c r="I1113" s="62" t="str">
        <f t="shared" si="35"/>
        <v/>
      </c>
      <c r="J1113" s="63" t="str">
        <f t="shared" si="36"/>
        <v/>
      </c>
    </row>
    <row r="1114" spans="9:10">
      <c r="I1114" s="62" t="str">
        <f t="shared" si="35"/>
        <v/>
      </c>
      <c r="J1114" s="63" t="str">
        <f t="shared" si="36"/>
        <v/>
      </c>
    </row>
    <row r="1115" spans="9:10">
      <c r="I1115" s="62" t="str">
        <f t="shared" si="35"/>
        <v/>
      </c>
      <c r="J1115" s="63" t="str">
        <f t="shared" si="36"/>
        <v/>
      </c>
    </row>
    <row r="1116" spans="9:10">
      <c r="I1116" s="62" t="str">
        <f t="shared" si="35"/>
        <v/>
      </c>
      <c r="J1116" s="63" t="str">
        <f t="shared" si="36"/>
        <v/>
      </c>
    </row>
    <row r="1117" spans="9:10">
      <c r="I1117" s="62" t="str">
        <f t="shared" si="35"/>
        <v/>
      </c>
      <c r="J1117" s="63" t="str">
        <f t="shared" si="36"/>
        <v/>
      </c>
    </row>
    <row r="1118" spans="9:10">
      <c r="I1118" s="62" t="str">
        <f t="shared" si="35"/>
        <v/>
      </c>
      <c r="J1118" s="63" t="str">
        <f t="shared" si="36"/>
        <v/>
      </c>
    </row>
    <row r="1119" spans="9:10">
      <c r="I1119" s="62" t="str">
        <f t="shared" si="35"/>
        <v/>
      </c>
      <c r="J1119" s="63" t="str">
        <f t="shared" si="36"/>
        <v/>
      </c>
    </row>
    <row r="1120" spans="9:10">
      <c r="I1120" s="62" t="str">
        <f t="shared" si="35"/>
        <v/>
      </c>
      <c r="J1120" s="63" t="str">
        <f t="shared" si="36"/>
        <v/>
      </c>
    </row>
    <row r="1121" spans="9:10">
      <c r="I1121" s="62" t="str">
        <f t="shared" si="35"/>
        <v/>
      </c>
      <c r="J1121" s="63" t="str">
        <f t="shared" si="36"/>
        <v/>
      </c>
    </row>
    <row r="1122" spans="9:10">
      <c r="I1122" s="62" t="str">
        <f t="shared" si="35"/>
        <v/>
      </c>
      <c r="J1122" s="63" t="str">
        <f t="shared" si="36"/>
        <v/>
      </c>
    </row>
    <row r="1123" spans="9:10">
      <c r="I1123" s="62" t="str">
        <f t="shared" si="35"/>
        <v/>
      </c>
      <c r="J1123" s="63" t="str">
        <f t="shared" si="36"/>
        <v/>
      </c>
    </row>
    <row r="1124" spans="9:10">
      <c r="I1124" s="62" t="str">
        <f t="shared" si="35"/>
        <v/>
      </c>
      <c r="J1124" s="63" t="str">
        <f t="shared" si="36"/>
        <v/>
      </c>
    </row>
    <row r="1125" spans="9:10">
      <c r="I1125" s="62" t="str">
        <f t="shared" si="35"/>
        <v/>
      </c>
      <c r="J1125" s="63" t="str">
        <f t="shared" si="36"/>
        <v/>
      </c>
    </row>
    <row r="1126" spans="9:10">
      <c r="I1126" s="62" t="str">
        <f t="shared" si="35"/>
        <v/>
      </c>
      <c r="J1126" s="63" t="str">
        <f t="shared" si="36"/>
        <v/>
      </c>
    </row>
    <row r="1127" spans="9:10">
      <c r="I1127" s="62" t="str">
        <f t="shared" si="35"/>
        <v/>
      </c>
      <c r="J1127" s="63" t="str">
        <f t="shared" si="36"/>
        <v/>
      </c>
    </row>
    <row r="1128" spans="9:10">
      <c r="I1128" s="62" t="str">
        <f t="shared" si="35"/>
        <v/>
      </c>
      <c r="J1128" s="63" t="str">
        <f t="shared" si="36"/>
        <v/>
      </c>
    </row>
    <row r="1129" spans="9:10">
      <c r="I1129" s="62" t="str">
        <f t="shared" si="35"/>
        <v/>
      </c>
      <c r="J1129" s="63" t="str">
        <f t="shared" si="36"/>
        <v/>
      </c>
    </row>
    <row r="1130" spans="9:10">
      <c r="I1130" s="62" t="str">
        <f t="shared" si="35"/>
        <v/>
      </c>
      <c r="J1130" s="63" t="str">
        <f t="shared" si="36"/>
        <v/>
      </c>
    </row>
    <row r="1131" spans="9:10">
      <c r="I1131" s="62" t="str">
        <f t="shared" si="35"/>
        <v/>
      </c>
      <c r="J1131" s="63" t="str">
        <f t="shared" si="36"/>
        <v/>
      </c>
    </row>
    <row r="1132" spans="9:10">
      <c r="I1132" s="62" t="str">
        <f t="shared" si="35"/>
        <v/>
      </c>
      <c r="J1132" s="63" t="str">
        <f t="shared" si="36"/>
        <v/>
      </c>
    </row>
    <row r="1133" spans="9:10">
      <c r="I1133" s="62" t="str">
        <f t="shared" si="35"/>
        <v/>
      </c>
      <c r="J1133" s="63" t="str">
        <f t="shared" si="36"/>
        <v/>
      </c>
    </row>
    <row r="1134" spans="9:10">
      <c r="I1134" s="62" t="str">
        <f t="shared" si="35"/>
        <v/>
      </c>
      <c r="J1134" s="63" t="str">
        <f t="shared" si="36"/>
        <v/>
      </c>
    </row>
    <row r="1135" spans="9:10">
      <c r="I1135" s="62" t="str">
        <f t="shared" si="35"/>
        <v/>
      </c>
      <c r="J1135" s="63" t="str">
        <f t="shared" si="36"/>
        <v/>
      </c>
    </row>
    <row r="1136" spans="9:10">
      <c r="I1136" s="62" t="str">
        <f t="shared" si="35"/>
        <v/>
      </c>
      <c r="J1136" s="63" t="str">
        <f t="shared" si="36"/>
        <v/>
      </c>
    </row>
    <row r="1137" spans="9:10">
      <c r="I1137" s="62" t="str">
        <f t="shared" si="35"/>
        <v/>
      </c>
      <c r="J1137" s="63" t="str">
        <f t="shared" si="36"/>
        <v/>
      </c>
    </row>
    <row r="1138" spans="9:10">
      <c r="I1138" s="62" t="str">
        <f t="shared" si="35"/>
        <v/>
      </c>
      <c r="J1138" s="63" t="str">
        <f t="shared" si="36"/>
        <v/>
      </c>
    </row>
    <row r="1139" spans="9:10">
      <c r="I1139" s="62" t="str">
        <f t="shared" si="35"/>
        <v/>
      </c>
      <c r="J1139" s="63" t="str">
        <f t="shared" si="36"/>
        <v/>
      </c>
    </row>
    <row r="1140" spans="9:10">
      <c r="I1140" s="62" t="str">
        <f t="shared" si="35"/>
        <v/>
      </c>
      <c r="J1140" s="63" t="str">
        <f t="shared" si="36"/>
        <v/>
      </c>
    </row>
    <row r="1141" spans="9:10">
      <c r="I1141" s="62" t="str">
        <f t="shared" si="35"/>
        <v/>
      </c>
      <c r="J1141" s="63" t="str">
        <f t="shared" si="36"/>
        <v/>
      </c>
    </row>
    <row r="1142" spans="9:10">
      <c r="I1142" s="62" t="str">
        <f t="shared" si="35"/>
        <v/>
      </c>
      <c r="J1142" s="63" t="str">
        <f t="shared" si="36"/>
        <v/>
      </c>
    </row>
    <row r="1143" spans="9:10">
      <c r="I1143" s="62" t="str">
        <f t="shared" si="35"/>
        <v/>
      </c>
      <c r="J1143" s="63" t="str">
        <f t="shared" si="36"/>
        <v/>
      </c>
    </row>
    <row r="1144" spans="9:10">
      <c r="I1144" s="62" t="str">
        <f t="shared" si="35"/>
        <v/>
      </c>
      <c r="J1144" s="63" t="str">
        <f t="shared" si="36"/>
        <v/>
      </c>
    </row>
    <row r="1145" spans="9:10">
      <c r="I1145" s="62" t="str">
        <f t="shared" si="35"/>
        <v/>
      </c>
      <c r="J1145" s="63" t="str">
        <f t="shared" si="36"/>
        <v/>
      </c>
    </row>
    <row r="1146" spans="9:10">
      <c r="I1146" s="62" t="str">
        <f t="shared" si="35"/>
        <v/>
      </c>
      <c r="J1146" s="63" t="str">
        <f t="shared" si="36"/>
        <v/>
      </c>
    </row>
    <row r="1147" spans="9:10">
      <c r="I1147" s="62" t="str">
        <f t="shared" si="35"/>
        <v/>
      </c>
      <c r="J1147" s="63" t="str">
        <f t="shared" si="36"/>
        <v/>
      </c>
    </row>
    <row r="1148" spans="9:10">
      <c r="I1148" s="62" t="str">
        <f t="shared" si="35"/>
        <v/>
      </c>
      <c r="J1148" s="63" t="str">
        <f t="shared" si="36"/>
        <v/>
      </c>
    </row>
    <row r="1149" spans="9:10">
      <c r="I1149" s="62" t="str">
        <f t="shared" si="35"/>
        <v/>
      </c>
      <c r="J1149" s="63" t="str">
        <f t="shared" si="36"/>
        <v/>
      </c>
    </row>
    <row r="1150" spans="9:10">
      <c r="I1150" s="62" t="str">
        <f t="shared" si="35"/>
        <v/>
      </c>
      <c r="J1150" s="63" t="str">
        <f t="shared" si="36"/>
        <v/>
      </c>
    </row>
    <row r="1151" spans="9:10">
      <c r="I1151" s="62" t="str">
        <f t="shared" si="35"/>
        <v/>
      </c>
      <c r="J1151" s="63" t="str">
        <f t="shared" si="36"/>
        <v/>
      </c>
    </row>
    <row r="1152" spans="9:10">
      <c r="I1152" s="62" t="str">
        <f t="shared" si="35"/>
        <v/>
      </c>
      <c r="J1152" s="63" t="str">
        <f t="shared" si="36"/>
        <v/>
      </c>
    </row>
    <row r="1153" spans="9:10">
      <c r="I1153" s="62" t="str">
        <f t="shared" si="35"/>
        <v/>
      </c>
      <c r="J1153" s="63" t="str">
        <f t="shared" si="36"/>
        <v/>
      </c>
    </row>
    <row r="1154" spans="9:10">
      <c r="I1154" s="62" t="str">
        <f t="shared" si="35"/>
        <v/>
      </c>
      <c r="J1154" s="63" t="str">
        <f t="shared" si="36"/>
        <v/>
      </c>
    </row>
    <row r="1155" spans="9:10">
      <c r="I1155" s="62" t="str">
        <f t="shared" si="35"/>
        <v/>
      </c>
      <c r="J1155" s="63" t="str">
        <f t="shared" si="36"/>
        <v/>
      </c>
    </row>
    <row r="1156" spans="9:10">
      <c r="I1156" s="62" t="str">
        <f t="shared" si="35"/>
        <v/>
      </c>
      <c r="J1156" s="63" t="str">
        <f t="shared" si="36"/>
        <v/>
      </c>
    </row>
    <row r="1157" spans="9:10">
      <c r="I1157" s="62" t="str">
        <f t="shared" si="35"/>
        <v/>
      </c>
      <c r="J1157" s="63" t="str">
        <f t="shared" si="36"/>
        <v/>
      </c>
    </row>
    <row r="1158" spans="9:10">
      <c r="I1158" s="62" t="str">
        <f t="shared" si="35"/>
        <v/>
      </c>
      <c r="J1158" s="63" t="str">
        <f t="shared" si="36"/>
        <v/>
      </c>
    </row>
    <row r="1159" spans="9:10">
      <c r="I1159" s="62" t="str">
        <f t="shared" si="35"/>
        <v/>
      </c>
      <c r="J1159" s="63" t="str">
        <f t="shared" si="36"/>
        <v/>
      </c>
    </row>
    <row r="1160" spans="9:10">
      <c r="I1160" s="62" t="str">
        <f t="shared" si="35"/>
        <v/>
      </c>
      <c r="J1160" s="63" t="str">
        <f t="shared" si="36"/>
        <v/>
      </c>
    </row>
    <row r="1161" spans="9:10">
      <c r="I1161" s="62" t="str">
        <f t="shared" si="35"/>
        <v/>
      </c>
      <c r="J1161" s="63" t="str">
        <f t="shared" si="36"/>
        <v/>
      </c>
    </row>
    <row r="1162" spans="9:10">
      <c r="I1162" s="62" t="str">
        <f t="shared" si="35"/>
        <v/>
      </c>
      <c r="J1162" s="63" t="str">
        <f t="shared" si="36"/>
        <v/>
      </c>
    </row>
    <row r="1163" spans="9:10">
      <c r="I1163" s="62" t="str">
        <f t="shared" si="35"/>
        <v/>
      </c>
      <c r="J1163" s="63" t="str">
        <f t="shared" si="36"/>
        <v/>
      </c>
    </row>
    <row r="1164" spans="9:10">
      <c r="I1164" s="62" t="str">
        <f t="shared" ref="I1164:I1227" si="37">IF(B1164="","",IF(B1164="Total",I1162,IF(B1162="Total",I1162, IF(ISNUMBER(A1164),A1164,I1163))))</f>
        <v/>
      </c>
      <c r="J1164" s="63" t="str">
        <f t="shared" si="36"/>
        <v/>
      </c>
    </row>
    <row r="1165" spans="9:10">
      <c r="I1165" s="62" t="str">
        <f t="shared" si="37"/>
        <v/>
      </c>
      <c r="J1165" s="63" t="str">
        <f t="shared" si="36"/>
        <v/>
      </c>
    </row>
    <row r="1166" spans="9:10">
      <c r="I1166" s="62" t="str">
        <f t="shared" si="37"/>
        <v/>
      </c>
      <c r="J1166" s="63" t="str">
        <f t="shared" si="36"/>
        <v/>
      </c>
    </row>
    <row r="1167" spans="9:10">
      <c r="I1167" s="62" t="str">
        <f t="shared" si="37"/>
        <v/>
      </c>
      <c r="J1167" s="63" t="str">
        <f t="shared" ref="J1167:J1230" si="38">IF(B1167="","",IF(B1167="Total",J1165,IF(B1165="Total",J1165,IF(A1167="",J1166,IF(ISNUMBER(A1166),B1166,IF(ISNUMBER(A1167),B1167,J1166))))))</f>
        <v/>
      </c>
    </row>
    <row r="1168" spans="9:10">
      <c r="I1168" s="62" t="str">
        <f t="shared" si="37"/>
        <v/>
      </c>
      <c r="J1168" s="63" t="str">
        <f t="shared" si="38"/>
        <v/>
      </c>
    </row>
    <row r="1169" spans="9:10">
      <c r="I1169" s="62" t="str">
        <f t="shared" si="37"/>
        <v/>
      </c>
      <c r="J1169" s="63" t="str">
        <f t="shared" si="38"/>
        <v/>
      </c>
    </row>
    <row r="1170" spans="9:10">
      <c r="I1170" s="62" t="str">
        <f t="shared" si="37"/>
        <v/>
      </c>
      <c r="J1170" s="63" t="str">
        <f t="shared" si="38"/>
        <v/>
      </c>
    </row>
    <row r="1171" spans="9:10">
      <c r="I1171" s="62" t="str">
        <f t="shared" si="37"/>
        <v/>
      </c>
      <c r="J1171" s="63" t="str">
        <f t="shared" si="38"/>
        <v/>
      </c>
    </row>
    <row r="1172" spans="9:10">
      <c r="I1172" s="62" t="str">
        <f t="shared" si="37"/>
        <v/>
      </c>
      <c r="J1172" s="63" t="str">
        <f t="shared" si="38"/>
        <v/>
      </c>
    </row>
    <row r="1173" spans="9:10">
      <c r="I1173" s="62" t="str">
        <f t="shared" si="37"/>
        <v/>
      </c>
      <c r="J1173" s="63" t="str">
        <f t="shared" si="38"/>
        <v/>
      </c>
    </row>
    <row r="1174" spans="9:10">
      <c r="I1174" s="62" t="str">
        <f t="shared" si="37"/>
        <v/>
      </c>
      <c r="J1174" s="63" t="str">
        <f t="shared" si="38"/>
        <v/>
      </c>
    </row>
    <row r="1175" spans="9:10">
      <c r="I1175" s="62" t="str">
        <f t="shared" si="37"/>
        <v/>
      </c>
      <c r="J1175" s="63" t="str">
        <f t="shared" si="38"/>
        <v/>
      </c>
    </row>
    <row r="1176" spans="9:10">
      <c r="I1176" s="62" t="str">
        <f t="shared" si="37"/>
        <v/>
      </c>
      <c r="J1176" s="63" t="str">
        <f t="shared" si="38"/>
        <v/>
      </c>
    </row>
    <row r="1177" spans="9:10">
      <c r="I1177" s="62" t="str">
        <f t="shared" si="37"/>
        <v/>
      </c>
      <c r="J1177" s="63" t="str">
        <f t="shared" si="38"/>
        <v/>
      </c>
    </row>
    <row r="1178" spans="9:10">
      <c r="I1178" s="62" t="str">
        <f t="shared" si="37"/>
        <v/>
      </c>
      <c r="J1178" s="63" t="str">
        <f t="shared" si="38"/>
        <v/>
      </c>
    </row>
    <row r="1179" spans="9:10">
      <c r="I1179" s="62" t="str">
        <f t="shared" si="37"/>
        <v/>
      </c>
      <c r="J1179" s="63" t="str">
        <f t="shared" si="38"/>
        <v/>
      </c>
    </row>
    <row r="1180" spans="9:10">
      <c r="I1180" s="62" t="str">
        <f t="shared" si="37"/>
        <v/>
      </c>
      <c r="J1180" s="63" t="str">
        <f t="shared" si="38"/>
        <v/>
      </c>
    </row>
    <row r="1181" spans="9:10">
      <c r="I1181" s="62" t="str">
        <f t="shared" si="37"/>
        <v/>
      </c>
      <c r="J1181" s="63" t="str">
        <f t="shared" si="38"/>
        <v/>
      </c>
    </row>
    <row r="1182" spans="9:10">
      <c r="I1182" s="62" t="str">
        <f t="shared" si="37"/>
        <v/>
      </c>
      <c r="J1182" s="63" t="str">
        <f t="shared" si="38"/>
        <v/>
      </c>
    </row>
    <row r="1183" spans="9:10">
      <c r="I1183" s="62" t="str">
        <f t="shared" si="37"/>
        <v/>
      </c>
      <c r="J1183" s="63" t="str">
        <f t="shared" si="38"/>
        <v/>
      </c>
    </row>
    <row r="1184" spans="9:10">
      <c r="I1184" s="62" t="str">
        <f t="shared" si="37"/>
        <v/>
      </c>
      <c r="J1184" s="63" t="str">
        <f t="shared" si="38"/>
        <v/>
      </c>
    </row>
    <row r="1185" spans="9:10">
      <c r="I1185" s="62" t="str">
        <f t="shared" si="37"/>
        <v/>
      </c>
      <c r="J1185" s="63" t="str">
        <f t="shared" si="38"/>
        <v/>
      </c>
    </row>
    <row r="1186" spans="9:10">
      <c r="I1186" s="62" t="str">
        <f t="shared" si="37"/>
        <v/>
      </c>
      <c r="J1186" s="63" t="str">
        <f t="shared" si="38"/>
        <v/>
      </c>
    </row>
    <row r="1187" spans="9:10">
      <c r="I1187" s="62" t="str">
        <f t="shared" si="37"/>
        <v/>
      </c>
      <c r="J1187" s="63" t="str">
        <f t="shared" si="38"/>
        <v/>
      </c>
    </row>
    <row r="1188" spans="9:10">
      <c r="I1188" s="62" t="str">
        <f t="shared" si="37"/>
        <v/>
      </c>
      <c r="J1188" s="63" t="str">
        <f t="shared" si="38"/>
        <v/>
      </c>
    </row>
    <row r="1189" spans="9:10">
      <c r="I1189" s="62" t="str">
        <f t="shared" si="37"/>
        <v/>
      </c>
      <c r="J1189" s="63" t="str">
        <f t="shared" si="38"/>
        <v/>
      </c>
    </row>
    <row r="1190" spans="9:10">
      <c r="I1190" s="62" t="str">
        <f t="shared" si="37"/>
        <v/>
      </c>
      <c r="J1190" s="63" t="str">
        <f t="shared" si="38"/>
        <v/>
      </c>
    </row>
    <row r="1191" spans="9:10">
      <c r="I1191" s="62" t="str">
        <f t="shared" si="37"/>
        <v/>
      </c>
      <c r="J1191" s="63" t="str">
        <f t="shared" si="38"/>
        <v/>
      </c>
    </row>
    <row r="1192" spans="9:10">
      <c r="I1192" s="62" t="str">
        <f t="shared" si="37"/>
        <v/>
      </c>
      <c r="J1192" s="63" t="str">
        <f t="shared" si="38"/>
        <v/>
      </c>
    </row>
    <row r="1193" spans="9:10">
      <c r="I1193" s="62" t="str">
        <f t="shared" si="37"/>
        <v/>
      </c>
      <c r="J1193" s="63" t="str">
        <f t="shared" si="38"/>
        <v/>
      </c>
    </row>
    <row r="1194" spans="9:10">
      <c r="I1194" s="62" t="str">
        <f t="shared" si="37"/>
        <v/>
      </c>
      <c r="J1194" s="63" t="str">
        <f t="shared" si="38"/>
        <v/>
      </c>
    </row>
    <row r="1195" spans="9:10">
      <c r="I1195" s="62" t="str">
        <f t="shared" si="37"/>
        <v/>
      </c>
      <c r="J1195" s="63" t="str">
        <f t="shared" si="38"/>
        <v/>
      </c>
    </row>
    <row r="1196" spans="9:10">
      <c r="I1196" s="62" t="str">
        <f t="shared" si="37"/>
        <v/>
      </c>
      <c r="J1196" s="63" t="str">
        <f t="shared" si="38"/>
        <v/>
      </c>
    </row>
    <row r="1197" spans="9:10">
      <c r="I1197" s="62" t="str">
        <f t="shared" si="37"/>
        <v/>
      </c>
      <c r="J1197" s="63" t="str">
        <f t="shared" si="38"/>
        <v/>
      </c>
    </row>
    <row r="1198" spans="9:10">
      <c r="I1198" s="62" t="str">
        <f t="shared" si="37"/>
        <v/>
      </c>
      <c r="J1198" s="63" t="str">
        <f t="shared" si="38"/>
        <v/>
      </c>
    </row>
    <row r="1199" spans="9:10">
      <c r="I1199" s="62" t="str">
        <f t="shared" si="37"/>
        <v/>
      </c>
      <c r="J1199" s="63" t="str">
        <f t="shared" si="38"/>
        <v/>
      </c>
    </row>
    <row r="1200" spans="9:10">
      <c r="I1200" s="62" t="str">
        <f t="shared" si="37"/>
        <v/>
      </c>
      <c r="J1200" s="63" t="str">
        <f t="shared" si="38"/>
        <v/>
      </c>
    </row>
    <row r="1201" spans="9:10">
      <c r="I1201" s="62" t="str">
        <f t="shared" si="37"/>
        <v/>
      </c>
      <c r="J1201" s="63" t="str">
        <f t="shared" si="38"/>
        <v/>
      </c>
    </row>
    <row r="1202" spans="9:10">
      <c r="I1202" s="62" t="str">
        <f t="shared" si="37"/>
        <v/>
      </c>
      <c r="J1202" s="63" t="str">
        <f t="shared" si="38"/>
        <v/>
      </c>
    </row>
    <row r="1203" spans="9:10">
      <c r="I1203" s="62" t="str">
        <f t="shared" si="37"/>
        <v/>
      </c>
      <c r="J1203" s="63" t="str">
        <f t="shared" si="38"/>
        <v/>
      </c>
    </row>
    <row r="1204" spans="9:10">
      <c r="I1204" s="62" t="str">
        <f t="shared" si="37"/>
        <v/>
      </c>
      <c r="J1204" s="63" t="str">
        <f t="shared" si="38"/>
        <v/>
      </c>
    </row>
    <row r="1205" spans="9:10">
      <c r="I1205" s="62" t="str">
        <f t="shared" si="37"/>
        <v/>
      </c>
      <c r="J1205" s="63" t="str">
        <f t="shared" si="38"/>
        <v/>
      </c>
    </row>
    <row r="1206" spans="9:10">
      <c r="I1206" s="62" t="str">
        <f t="shared" si="37"/>
        <v/>
      </c>
      <c r="J1206" s="63" t="str">
        <f t="shared" si="38"/>
        <v/>
      </c>
    </row>
    <row r="1207" spans="9:10">
      <c r="I1207" s="62" t="str">
        <f t="shared" si="37"/>
        <v/>
      </c>
      <c r="J1207" s="63" t="str">
        <f t="shared" si="38"/>
        <v/>
      </c>
    </row>
    <row r="1208" spans="9:10">
      <c r="I1208" s="62" t="str">
        <f t="shared" si="37"/>
        <v/>
      </c>
      <c r="J1208" s="63" t="str">
        <f t="shared" si="38"/>
        <v/>
      </c>
    </row>
    <row r="1209" spans="9:10">
      <c r="I1209" s="62" t="str">
        <f t="shared" si="37"/>
        <v/>
      </c>
      <c r="J1209" s="63" t="str">
        <f t="shared" si="38"/>
        <v/>
      </c>
    </row>
    <row r="1210" spans="9:10">
      <c r="I1210" s="62" t="str">
        <f t="shared" si="37"/>
        <v/>
      </c>
      <c r="J1210" s="63" t="str">
        <f t="shared" si="38"/>
        <v/>
      </c>
    </row>
    <row r="1211" spans="9:10">
      <c r="I1211" s="62" t="str">
        <f t="shared" si="37"/>
        <v/>
      </c>
      <c r="J1211" s="63" t="str">
        <f t="shared" si="38"/>
        <v/>
      </c>
    </row>
    <row r="1212" spans="9:10">
      <c r="I1212" s="62" t="str">
        <f t="shared" si="37"/>
        <v/>
      </c>
      <c r="J1212" s="63" t="str">
        <f t="shared" si="38"/>
        <v/>
      </c>
    </row>
    <row r="1213" spans="9:10">
      <c r="I1213" s="62" t="str">
        <f t="shared" si="37"/>
        <v/>
      </c>
      <c r="J1213" s="63" t="str">
        <f t="shared" si="38"/>
        <v/>
      </c>
    </row>
    <row r="1214" spans="9:10">
      <c r="I1214" s="62" t="str">
        <f t="shared" si="37"/>
        <v/>
      </c>
      <c r="J1214" s="63" t="str">
        <f t="shared" si="38"/>
        <v/>
      </c>
    </row>
    <row r="1215" spans="9:10">
      <c r="I1215" s="62" t="str">
        <f t="shared" si="37"/>
        <v/>
      </c>
      <c r="J1215" s="63" t="str">
        <f t="shared" si="38"/>
        <v/>
      </c>
    </row>
    <row r="1216" spans="9:10">
      <c r="I1216" s="62" t="str">
        <f t="shared" si="37"/>
        <v/>
      </c>
      <c r="J1216" s="63" t="str">
        <f t="shared" si="38"/>
        <v/>
      </c>
    </row>
    <row r="1217" spans="9:10">
      <c r="I1217" s="62" t="str">
        <f t="shared" si="37"/>
        <v/>
      </c>
      <c r="J1217" s="63" t="str">
        <f t="shared" si="38"/>
        <v/>
      </c>
    </row>
    <row r="1218" spans="9:10">
      <c r="I1218" s="62" t="str">
        <f t="shared" si="37"/>
        <v/>
      </c>
      <c r="J1218" s="63" t="str">
        <f t="shared" si="38"/>
        <v/>
      </c>
    </row>
    <row r="1219" spans="9:10">
      <c r="I1219" s="62" t="str">
        <f t="shared" si="37"/>
        <v/>
      </c>
      <c r="J1219" s="63" t="str">
        <f t="shared" si="38"/>
        <v/>
      </c>
    </row>
    <row r="1220" spans="9:10">
      <c r="I1220" s="62" t="str">
        <f t="shared" si="37"/>
        <v/>
      </c>
      <c r="J1220" s="63" t="str">
        <f t="shared" si="38"/>
        <v/>
      </c>
    </row>
    <row r="1221" spans="9:10">
      <c r="I1221" s="62" t="str">
        <f t="shared" si="37"/>
        <v/>
      </c>
      <c r="J1221" s="63" t="str">
        <f t="shared" si="38"/>
        <v/>
      </c>
    </row>
    <row r="1222" spans="9:10">
      <c r="I1222" s="62" t="str">
        <f t="shared" si="37"/>
        <v/>
      </c>
      <c r="J1222" s="63" t="str">
        <f t="shared" si="38"/>
        <v/>
      </c>
    </row>
    <row r="1223" spans="9:10">
      <c r="I1223" s="62" t="str">
        <f t="shared" si="37"/>
        <v/>
      </c>
      <c r="J1223" s="63" t="str">
        <f t="shared" si="38"/>
        <v/>
      </c>
    </row>
    <row r="1224" spans="9:10">
      <c r="I1224" s="62" t="str">
        <f t="shared" si="37"/>
        <v/>
      </c>
      <c r="J1224" s="63" t="str">
        <f t="shared" si="38"/>
        <v/>
      </c>
    </row>
    <row r="1225" spans="9:10">
      <c r="I1225" s="62" t="str">
        <f t="shared" si="37"/>
        <v/>
      </c>
      <c r="J1225" s="63" t="str">
        <f t="shared" si="38"/>
        <v/>
      </c>
    </row>
    <row r="1226" spans="9:10">
      <c r="I1226" s="62" t="str">
        <f t="shared" si="37"/>
        <v/>
      </c>
      <c r="J1226" s="63" t="str">
        <f t="shared" si="38"/>
        <v/>
      </c>
    </row>
    <row r="1227" spans="9:10">
      <c r="I1227" s="62" t="str">
        <f t="shared" si="37"/>
        <v/>
      </c>
      <c r="J1227" s="63" t="str">
        <f t="shared" si="38"/>
        <v/>
      </c>
    </row>
    <row r="1228" spans="9:10">
      <c r="I1228" s="62" t="str">
        <f t="shared" ref="I1228:I1291" si="39">IF(B1228="","",IF(B1228="Total",I1226,IF(B1226="Total",I1226, IF(ISNUMBER(A1228),A1228,I1227))))</f>
        <v/>
      </c>
      <c r="J1228" s="63" t="str">
        <f t="shared" si="38"/>
        <v/>
      </c>
    </row>
    <row r="1229" spans="9:10">
      <c r="I1229" s="62" t="str">
        <f t="shared" si="39"/>
        <v/>
      </c>
      <c r="J1229" s="63" t="str">
        <f t="shared" si="38"/>
        <v/>
      </c>
    </row>
    <row r="1230" spans="9:10">
      <c r="I1230" s="62" t="str">
        <f t="shared" si="39"/>
        <v/>
      </c>
      <c r="J1230" s="63" t="str">
        <f t="shared" si="38"/>
        <v/>
      </c>
    </row>
    <row r="1231" spans="9:10">
      <c r="I1231" s="62" t="str">
        <f t="shared" si="39"/>
        <v/>
      </c>
      <c r="J1231" s="63" t="str">
        <f t="shared" ref="J1231:J1294" si="40">IF(B1231="","",IF(B1231="Total",J1229,IF(B1229="Total",J1229,IF(A1231="",J1230,IF(ISNUMBER(A1230),B1230,IF(ISNUMBER(A1231),B1231,J1230))))))</f>
        <v/>
      </c>
    </row>
    <row r="1232" spans="9:10">
      <c r="I1232" s="62" t="str">
        <f t="shared" si="39"/>
        <v/>
      </c>
      <c r="J1232" s="63" t="str">
        <f t="shared" si="40"/>
        <v/>
      </c>
    </row>
    <row r="1233" spans="9:10">
      <c r="I1233" s="62" t="str">
        <f t="shared" si="39"/>
        <v/>
      </c>
      <c r="J1233" s="63" t="str">
        <f t="shared" si="40"/>
        <v/>
      </c>
    </row>
    <row r="1234" spans="9:10">
      <c r="I1234" s="62" t="str">
        <f t="shared" si="39"/>
        <v/>
      </c>
      <c r="J1234" s="63" t="str">
        <f t="shared" si="40"/>
        <v/>
      </c>
    </row>
    <row r="1235" spans="9:10">
      <c r="I1235" s="62" t="str">
        <f t="shared" si="39"/>
        <v/>
      </c>
      <c r="J1235" s="63" t="str">
        <f t="shared" si="40"/>
        <v/>
      </c>
    </row>
    <row r="1236" spans="9:10">
      <c r="I1236" s="62" t="str">
        <f t="shared" si="39"/>
        <v/>
      </c>
      <c r="J1236" s="63" t="str">
        <f t="shared" si="40"/>
        <v/>
      </c>
    </row>
    <row r="1237" spans="9:10">
      <c r="I1237" s="62" t="str">
        <f t="shared" si="39"/>
        <v/>
      </c>
      <c r="J1237" s="63" t="str">
        <f t="shared" si="40"/>
        <v/>
      </c>
    </row>
    <row r="1238" spans="9:10">
      <c r="I1238" s="62" t="str">
        <f t="shared" si="39"/>
        <v/>
      </c>
      <c r="J1238" s="63" t="str">
        <f t="shared" si="40"/>
        <v/>
      </c>
    </row>
    <row r="1239" spans="9:10">
      <c r="I1239" s="62" t="str">
        <f t="shared" si="39"/>
        <v/>
      </c>
      <c r="J1239" s="63" t="str">
        <f t="shared" si="40"/>
        <v/>
      </c>
    </row>
    <row r="1240" spans="9:10">
      <c r="I1240" s="62" t="str">
        <f t="shared" si="39"/>
        <v/>
      </c>
      <c r="J1240" s="63" t="str">
        <f t="shared" si="40"/>
        <v/>
      </c>
    </row>
    <row r="1241" spans="9:10">
      <c r="I1241" s="62" t="str">
        <f t="shared" si="39"/>
        <v/>
      </c>
      <c r="J1241" s="63" t="str">
        <f t="shared" si="40"/>
        <v/>
      </c>
    </row>
    <row r="1242" spans="9:10">
      <c r="I1242" s="62" t="str">
        <f t="shared" si="39"/>
        <v/>
      </c>
      <c r="J1242" s="63" t="str">
        <f t="shared" si="40"/>
        <v/>
      </c>
    </row>
    <row r="1243" spans="9:10">
      <c r="I1243" s="62" t="str">
        <f t="shared" si="39"/>
        <v/>
      </c>
      <c r="J1243" s="63" t="str">
        <f t="shared" si="40"/>
        <v/>
      </c>
    </row>
    <row r="1244" spans="9:10">
      <c r="I1244" s="62" t="str">
        <f t="shared" si="39"/>
        <v/>
      </c>
      <c r="J1244" s="63" t="str">
        <f t="shared" si="40"/>
        <v/>
      </c>
    </row>
    <row r="1245" spans="9:10">
      <c r="I1245" s="62" t="str">
        <f t="shared" si="39"/>
        <v/>
      </c>
      <c r="J1245" s="63" t="str">
        <f t="shared" si="40"/>
        <v/>
      </c>
    </row>
    <row r="1246" spans="9:10">
      <c r="I1246" s="62" t="str">
        <f t="shared" si="39"/>
        <v/>
      </c>
      <c r="J1246" s="63" t="str">
        <f t="shared" si="40"/>
        <v/>
      </c>
    </row>
    <row r="1247" spans="9:10">
      <c r="I1247" s="62" t="str">
        <f t="shared" si="39"/>
        <v/>
      </c>
      <c r="J1247" s="63" t="str">
        <f t="shared" si="40"/>
        <v/>
      </c>
    </row>
    <row r="1248" spans="9:10">
      <c r="I1248" s="62" t="str">
        <f t="shared" si="39"/>
        <v/>
      </c>
      <c r="J1248" s="63" t="str">
        <f t="shared" si="40"/>
        <v/>
      </c>
    </row>
    <row r="1249" spans="9:10">
      <c r="I1249" s="62" t="str">
        <f t="shared" si="39"/>
        <v/>
      </c>
      <c r="J1249" s="63" t="str">
        <f t="shared" si="40"/>
        <v/>
      </c>
    </row>
    <row r="1250" spans="9:10">
      <c r="I1250" s="62" t="str">
        <f t="shared" si="39"/>
        <v/>
      </c>
      <c r="J1250" s="63" t="str">
        <f t="shared" si="40"/>
        <v/>
      </c>
    </row>
    <row r="1251" spans="9:10">
      <c r="I1251" s="62" t="str">
        <f t="shared" si="39"/>
        <v/>
      </c>
      <c r="J1251" s="63" t="str">
        <f t="shared" si="40"/>
        <v/>
      </c>
    </row>
    <row r="1252" spans="9:10">
      <c r="I1252" s="62" t="str">
        <f t="shared" si="39"/>
        <v/>
      </c>
      <c r="J1252" s="63" t="str">
        <f t="shared" si="40"/>
        <v/>
      </c>
    </row>
    <row r="1253" spans="9:10">
      <c r="I1253" s="62" t="str">
        <f t="shared" si="39"/>
        <v/>
      </c>
      <c r="J1253" s="63" t="str">
        <f t="shared" si="40"/>
        <v/>
      </c>
    </row>
    <row r="1254" spans="9:10">
      <c r="I1254" s="62" t="str">
        <f t="shared" si="39"/>
        <v/>
      </c>
      <c r="J1254" s="63" t="str">
        <f t="shared" si="40"/>
        <v/>
      </c>
    </row>
    <row r="1255" spans="9:10">
      <c r="I1255" s="62" t="str">
        <f t="shared" si="39"/>
        <v/>
      </c>
      <c r="J1255" s="63" t="str">
        <f t="shared" si="40"/>
        <v/>
      </c>
    </row>
    <row r="1256" spans="9:10">
      <c r="I1256" s="62" t="str">
        <f t="shared" si="39"/>
        <v/>
      </c>
      <c r="J1256" s="63" t="str">
        <f t="shared" si="40"/>
        <v/>
      </c>
    </row>
    <row r="1257" spans="9:10">
      <c r="I1257" s="62" t="str">
        <f t="shared" si="39"/>
        <v/>
      </c>
      <c r="J1257" s="63" t="str">
        <f t="shared" si="40"/>
        <v/>
      </c>
    </row>
    <row r="1258" spans="9:10">
      <c r="I1258" s="62" t="str">
        <f t="shared" si="39"/>
        <v/>
      </c>
      <c r="J1258" s="63" t="str">
        <f t="shared" si="40"/>
        <v/>
      </c>
    </row>
    <row r="1259" spans="9:10">
      <c r="I1259" s="62" t="str">
        <f t="shared" si="39"/>
        <v/>
      </c>
      <c r="J1259" s="63" t="str">
        <f t="shared" si="40"/>
        <v/>
      </c>
    </row>
    <row r="1260" spans="9:10">
      <c r="I1260" s="62" t="str">
        <f t="shared" si="39"/>
        <v/>
      </c>
      <c r="J1260" s="63" t="str">
        <f t="shared" si="40"/>
        <v/>
      </c>
    </row>
    <row r="1261" spans="9:10">
      <c r="I1261" s="62" t="str">
        <f t="shared" si="39"/>
        <v/>
      </c>
      <c r="J1261" s="63" t="str">
        <f t="shared" si="40"/>
        <v/>
      </c>
    </row>
    <row r="1262" spans="9:10">
      <c r="I1262" s="62" t="str">
        <f t="shared" si="39"/>
        <v/>
      </c>
      <c r="J1262" s="63" t="str">
        <f t="shared" si="40"/>
        <v/>
      </c>
    </row>
    <row r="1263" spans="9:10">
      <c r="I1263" s="62" t="str">
        <f t="shared" si="39"/>
        <v/>
      </c>
      <c r="J1263" s="63" t="str">
        <f t="shared" si="40"/>
        <v/>
      </c>
    </row>
    <row r="1264" spans="9:10">
      <c r="I1264" s="62" t="str">
        <f t="shared" si="39"/>
        <v/>
      </c>
      <c r="J1264" s="63" t="str">
        <f t="shared" si="40"/>
        <v/>
      </c>
    </row>
    <row r="1265" spans="9:10">
      <c r="I1265" s="62" t="str">
        <f t="shared" si="39"/>
        <v/>
      </c>
      <c r="J1265" s="63" t="str">
        <f t="shared" si="40"/>
        <v/>
      </c>
    </row>
    <row r="1266" spans="9:10">
      <c r="I1266" s="62" t="str">
        <f t="shared" si="39"/>
        <v/>
      </c>
      <c r="J1266" s="63" t="str">
        <f t="shared" si="40"/>
        <v/>
      </c>
    </row>
    <row r="1267" spans="9:10">
      <c r="I1267" s="62" t="str">
        <f t="shared" si="39"/>
        <v/>
      </c>
      <c r="J1267" s="63" t="str">
        <f t="shared" si="40"/>
        <v/>
      </c>
    </row>
    <row r="1268" spans="9:10">
      <c r="I1268" s="62" t="str">
        <f t="shared" si="39"/>
        <v/>
      </c>
      <c r="J1268" s="63" t="str">
        <f t="shared" si="40"/>
        <v/>
      </c>
    </row>
    <row r="1269" spans="9:10">
      <c r="I1269" s="62" t="str">
        <f t="shared" si="39"/>
        <v/>
      </c>
      <c r="J1269" s="63" t="str">
        <f t="shared" si="40"/>
        <v/>
      </c>
    </row>
    <row r="1270" spans="9:10">
      <c r="I1270" s="62" t="str">
        <f t="shared" si="39"/>
        <v/>
      </c>
      <c r="J1270" s="63" t="str">
        <f t="shared" si="40"/>
        <v/>
      </c>
    </row>
    <row r="1271" spans="9:10">
      <c r="I1271" s="62" t="str">
        <f t="shared" si="39"/>
        <v/>
      </c>
      <c r="J1271" s="63" t="str">
        <f t="shared" si="40"/>
        <v/>
      </c>
    </row>
    <row r="1272" spans="9:10">
      <c r="I1272" s="62" t="str">
        <f t="shared" si="39"/>
        <v/>
      </c>
      <c r="J1272" s="63" t="str">
        <f t="shared" si="40"/>
        <v/>
      </c>
    </row>
    <row r="1273" spans="9:10">
      <c r="I1273" s="62" t="str">
        <f t="shared" si="39"/>
        <v/>
      </c>
      <c r="J1273" s="63" t="str">
        <f t="shared" si="40"/>
        <v/>
      </c>
    </row>
    <row r="1274" spans="9:10">
      <c r="I1274" s="62" t="str">
        <f t="shared" si="39"/>
        <v/>
      </c>
      <c r="J1274" s="63" t="str">
        <f t="shared" si="40"/>
        <v/>
      </c>
    </row>
    <row r="1275" spans="9:10">
      <c r="I1275" s="62" t="str">
        <f t="shared" si="39"/>
        <v/>
      </c>
      <c r="J1275" s="63" t="str">
        <f t="shared" si="40"/>
        <v/>
      </c>
    </row>
    <row r="1276" spans="9:10">
      <c r="I1276" s="62" t="str">
        <f t="shared" si="39"/>
        <v/>
      </c>
      <c r="J1276" s="63" t="str">
        <f t="shared" si="40"/>
        <v/>
      </c>
    </row>
    <row r="1277" spans="9:10">
      <c r="I1277" s="62" t="str">
        <f t="shared" si="39"/>
        <v/>
      </c>
      <c r="J1277" s="63" t="str">
        <f t="shared" si="40"/>
        <v/>
      </c>
    </row>
    <row r="1278" spans="9:10">
      <c r="I1278" s="62" t="str">
        <f t="shared" si="39"/>
        <v/>
      </c>
      <c r="J1278" s="63" t="str">
        <f t="shared" si="40"/>
        <v/>
      </c>
    </row>
    <row r="1279" spans="9:10">
      <c r="I1279" s="62" t="str">
        <f t="shared" si="39"/>
        <v/>
      </c>
      <c r="J1279" s="63" t="str">
        <f t="shared" si="40"/>
        <v/>
      </c>
    </row>
    <row r="1280" spans="9:10">
      <c r="I1280" s="62" t="str">
        <f t="shared" si="39"/>
        <v/>
      </c>
      <c r="J1280" s="63" t="str">
        <f t="shared" si="40"/>
        <v/>
      </c>
    </row>
    <row r="1281" spans="9:10">
      <c r="I1281" s="62" t="str">
        <f t="shared" si="39"/>
        <v/>
      </c>
      <c r="J1281" s="63" t="str">
        <f t="shared" si="40"/>
        <v/>
      </c>
    </row>
    <row r="1282" spans="9:10">
      <c r="I1282" s="62" t="str">
        <f t="shared" si="39"/>
        <v/>
      </c>
      <c r="J1282" s="63" t="str">
        <f t="shared" si="40"/>
        <v/>
      </c>
    </row>
    <row r="1283" spans="9:10">
      <c r="I1283" s="62" t="str">
        <f t="shared" si="39"/>
        <v/>
      </c>
      <c r="J1283" s="63" t="str">
        <f t="shared" si="40"/>
        <v/>
      </c>
    </row>
    <row r="1284" spans="9:10">
      <c r="I1284" s="62" t="str">
        <f t="shared" si="39"/>
        <v/>
      </c>
      <c r="J1284" s="63" t="str">
        <f t="shared" si="40"/>
        <v/>
      </c>
    </row>
    <row r="1285" spans="9:10">
      <c r="I1285" s="62" t="str">
        <f t="shared" si="39"/>
        <v/>
      </c>
      <c r="J1285" s="63" t="str">
        <f t="shared" si="40"/>
        <v/>
      </c>
    </row>
    <row r="1286" spans="9:10">
      <c r="I1286" s="62" t="str">
        <f t="shared" si="39"/>
        <v/>
      </c>
      <c r="J1286" s="63" t="str">
        <f t="shared" si="40"/>
        <v/>
      </c>
    </row>
    <row r="1287" spans="9:10">
      <c r="I1287" s="62" t="str">
        <f t="shared" si="39"/>
        <v/>
      </c>
      <c r="J1287" s="63" t="str">
        <f t="shared" si="40"/>
        <v/>
      </c>
    </row>
    <row r="1288" spans="9:10">
      <c r="I1288" s="62" t="str">
        <f t="shared" si="39"/>
        <v/>
      </c>
      <c r="J1288" s="63" t="str">
        <f t="shared" si="40"/>
        <v/>
      </c>
    </row>
    <row r="1289" spans="9:10">
      <c r="I1289" s="62" t="str">
        <f t="shared" si="39"/>
        <v/>
      </c>
      <c r="J1289" s="63" t="str">
        <f t="shared" si="40"/>
        <v/>
      </c>
    </row>
    <row r="1290" spans="9:10">
      <c r="I1290" s="62" t="str">
        <f t="shared" si="39"/>
        <v/>
      </c>
      <c r="J1290" s="63" t="str">
        <f t="shared" si="40"/>
        <v/>
      </c>
    </row>
    <row r="1291" spans="9:10">
      <c r="I1291" s="62" t="str">
        <f t="shared" si="39"/>
        <v/>
      </c>
      <c r="J1291" s="63" t="str">
        <f t="shared" si="40"/>
        <v/>
      </c>
    </row>
    <row r="1292" spans="9:10">
      <c r="I1292" s="62" t="str">
        <f t="shared" ref="I1292:I1355" si="41">IF(B1292="","",IF(B1292="Total",I1290,IF(B1290="Total",I1290, IF(ISNUMBER(A1292),A1292,I1291))))</f>
        <v/>
      </c>
      <c r="J1292" s="63" t="str">
        <f t="shared" si="40"/>
        <v/>
      </c>
    </row>
    <row r="1293" spans="9:10">
      <c r="I1293" s="62" t="str">
        <f t="shared" si="41"/>
        <v/>
      </c>
      <c r="J1293" s="63" t="str">
        <f t="shared" si="40"/>
        <v/>
      </c>
    </row>
    <row r="1294" spans="9:10">
      <c r="I1294" s="62" t="str">
        <f t="shared" si="41"/>
        <v/>
      </c>
      <c r="J1294" s="63" t="str">
        <f t="shared" si="40"/>
        <v/>
      </c>
    </row>
    <row r="1295" spans="9:10">
      <c r="I1295" s="62" t="str">
        <f t="shared" si="41"/>
        <v/>
      </c>
      <c r="J1295" s="63" t="str">
        <f t="shared" ref="J1295:J1358" si="42">IF(B1295="","",IF(B1295="Total",J1293,IF(B1293="Total",J1293,IF(A1295="",J1294,IF(ISNUMBER(A1294),B1294,IF(ISNUMBER(A1295),B1295,J1294))))))</f>
        <v/>
      </c>
    </row>
    <row r="1296" spans="9:10">
      <c r="I1296" s="62" t="str">
        <f t="shared" si="41"/>
        <v/>
      </c>
      <c r="J1296" s="63" t="str">
        <f t="shared" si="42"/>
        <v/>
      </c>
    </row>
    <row r="1297" spans="9:10">
      <c r="I1297" s="62" t="str">
        <f t="shared" si="41"/>
        <v/>
      </c>
      <c r="J1297" s="63" t="str">
        <f t="shared" si="42"/>
        <v/>
      </c>
    </row>
    <row r="1298" spans="9:10">
      <c r="I1298" s="62" t="str">
        <f t="shared" si="41"/>
        <v/>
      </c>
      <c r="J1298" s="63" t="str">
        <f t="shared" si="42"/>
        <v/>
      </c>
    </row>
    <row r="1299" spans="9:10">
      <c r="I1299" s="62" t="str">
        <f t="shared" si="41"/>
        <v/>
      </c>
      <c r="J1299" s="63" t="str">
        <f t="shared" si="42"/>
        <v/>
      </c>
    </row>
    <row r="1300" spans="9:10">
      <c r="I1300" s="62" t="str">
        <f t="shared" si="41"/>
        <v/>
      </c>
      <c r="J1300" s="63" t="str">
        <f t="shared" si="42"/>
        <v/>
      </c>
    </row>
    <row r="1301" spans="9:10">
      <c r="I1301" s="62" t="str">
        <f t="shared" si="41"/>
        <v/>
      </c>
      <c r="J1301" s="63" t="str">
        <f t="shared" si="42"/>
        <v/>
      </c>
    </row>
    <row r="1302" spans="9:10">
      <c r="I1302" s="62" t="str">
        <f t="shared" si="41"/>
        <v/>
      </c>
      <c r="J1302" s="63" t="str">
        <f t="shared" si="42"/>
        <v/>
      </c>
    </row>
    <row r="1303" spans="9:10">
      <c r="I1303" s="62" t="str">
        <f t="shared" si="41"/>
        <v/>
      </c>
      <c r="J1303" s="63" t="str">
        <f t="shared" si="42"/>
        <v/>
      </c>
    </row>
    <row r="1304" spans="9:10">
      <c r="I1304" s="62" t="str">
        <f t="shared" si="41"/>
        <v/>
      </c>
      <c r="J1304" s="63" t="str">
        <f t="shared" si="42"/>
        <v/>
      </c>
    </row>
    <row r="1305" spans="9:10">
      <c r="I1305" s="62" t="str">
        <f t="shared" si="41"/>
        <v/>
      </c>
      <c r="J1305" s="63" t="str">
        <f t="shared" si="42"/>
        <v/>
      </c>
    </row>
    <row r="1306" spans="9:10">
      <c r="I1306" s="62" t="str">
        <f t="shared" si="41"/>
        <v/>
      </c>
      <c r="J1306" s="63" t="str">
        <f t="shared" si="42"/>
        <v/>
      </c>
    </row>
    <row r="1307" spans="9:10">
      <c r="I1307" s="62" t="str">
        <f t="shared" si="41"/>
        <v/>
      </c>
      <c r="J1307" s="63" t="str">
        <f t="shared" si="42"/>
        <v/>
      </c>
    </row>
    <row r="1308" spans="9:10">
      <c r="I1308" s="62" t="str">
        <f t="shared" si="41"/>
        <v/>
      </c>
      <c r="J1308" s="63" t="str">
        <f t="shared" si="42"/>
        <v/>
      </c>
    </row>
    <row r="1309" spans="9:10">
      <c r="I1309" s="62" t="str">
        <f t="shared" si="41"/>
        <v/>
      </c>
      <c r="J1309" s="63" t="str">
        <f t="shared" si="42"/>
        <v/>
      </c>
    </row>
    <row r="1310" spans="9:10">
      <c r="I1310" s="62" t="str">
        <f t="shared" si="41"/>
        <v/>
      </c>
      <c r="J1310" s="63" t="str">
        <f t="shared" si="42"/>
        <v/>
      </c>
    </row>
    <row r="1311" spans="9:10">
      <c r="I1311" s="62" t="str">
        <f t="shared" si="41"/>
        <v/>
      </c>
      <c r="J1311" s="63" t="str">
        <f t="shared" si="42"/>
        <v/>
      </c>
    </row>
    <row r="1312" spans="9:10">
      <c r="I1312" s="62" t="str">
        <f t="shared" si="41"/>
        <v/>
      </c>
      <c r="J1312" s="63" t="str">
        <f t="shared" si="42"/>
        <v/>
      </c>
    </row>
    <row r="1313" spans="9:10">
      <c r="I1313" s="62" t="str">
        <f t="shared" si="41"/>
        <v/>
      </c>
      <c r="J1313" s="63" t="str">
        <f t="shared" si="42"/>
        <v/>
      </c>
    </row>
    <row r="1314" spans="9:10">
      <c r="I1314" s="62" t="str">
        <f t="shared" si="41"/>
        <v/>
      </c>
      <c r="J1314" s="63" t="str">
        <f t="shared" si="42"/>
        <v/>
      </c>
    </row>
    <row r="1315" spans="9:10">
      <c r="I1315" s="62" t="str">
        <f t="shared" si="41"/>
        <v/>
      </c>
      <c r="J1315" s="63" t="str">
        <f t="shared" si="42"/>
        <v/>
      </c>
    </row>
    <row r="1316" spans="9:10">
      <c r="I1316" s="62" t="str">
        <f t="shared" si="41"/>
        <v/>
      </c>
      <c r="J1316" s="63" t="str">
        <f t="shared" si="42"/>
        <v/>
      </c>
    </row>
    <row r="1317" spans="9:10">
      <c r="I1317" s="62" t="str">
        <f t="shared" si="41"/>
        <v/>
      </c>
      <c r="J1317" s="63" t="str">
        <f t="shared" si="42"/>
        <v/>
      </c>
    </row>
    <row r="1318" spans="9:10">
      <c r="I1318" s="62" t="str">
        <f t="shared" si="41"/>
        <v/>
      </c>
      <c r="J1318" s="63" t="str">
        <f t="shared" si="42"/>
        <v/>
      </c>
    </row>
    <row r="1319" spans="9:10">
      <c r="I1319" s="62" t="str">
        <f t="shared" si="41"/>
        <v/>
      </c>
      <c r="J1319" s="63" t="str">
        <f t="shared" si="42"/>
        <v/>
      </c>
    </row>
    <row r="1320" spans="9:10">
      <c r="I1320" s="62" t="str">
        <f t="shared" si="41"/>
        <v/>
      </c>
      <c r="J1320" s="63" t="str">
        <f t="shared" si="42"/>
        <v/>
      </c>
    </row>
    <row r="1321" spans="9:10">
      <c r="I1321" s="62" t="str">
        <f t="shared" si="41"/>
        <v/>
      </c>
      <c r="J1321" s="63" t="str">
        <f t="shared" si="42"/>
        <v/>
      </c>
    </row>
    <row r="1322" spans="9:10">
      <c r="I1322" s="62" t="str">
        <f t="shared" si="41"/>
        <v/>
      </c>
      <c r="J1322" s="63" t="str">
        <f t="shared" si="42"/>
        <v/>
      </c>
    </row>
    <row r="1323" spans="9:10">
      <c r="I1323" s="62" t="str">
        <f t="shared" si="41"/>
        <v/>
      </c>
      <c r="J1323" s="63" t="str">
        <f t="shared" si="42"/>
        <v/>
      </c>
    </row>
    <row r="1324" spans="9:10">
      <c r="I1324" s="62" t="str">
        <f t="shared" si="41"/>
        <v/>
      </c>
      <c r="J1324" s="63" t="str">
        <f t="shared" si="42"/>
        <v/>
      </c>
    </row>
    <row r="1325" spans="9:10">
      <c r="I1325" s="62" t="str">
        <f t="shared" si="41"/>
        <v/>
      </c>
      <c r="J1325" s="63" t="str">
        <f t="shared" si="42"/>
        <v/>
      </c>
    </row>
    <row r="1326" spans="9:10">
      <c r="I1326" s="62" t="str">
        <f t="shared" si="41"/>
        <v/>
      </c>
      <c r="J1326" s="63" t="str">
        <f t="shared" si="42"/>
        <v/>
      </c>
    </row>
    <row r="1327" spans="9:10">
      <c r="I1327" s="62" t="str">
        <f t="shared" si="41"/>
        <v/>
      </c>
      <c r="J1327" s="63" t="str">
        <f t="shared" si="42"/>
        <v/>
      </c>
    </row>
    <row r="1328" spans="9:10">
      <c r="I1328" s="62" t="str">
        <f t="shared" si="41"/>
        <v/>
      </c>
      <c r="J1328" s="63" t="str">
        <f t="shared" si="42"/>
        <v/>
      </c>
    </row>
    <row r="1329" spans="9:10">
      <c r="I1329" s="62" t="str">
        <f t="shared" si="41"/>
        <v/>
      </c>
      <c r="J1329" s="63" t="str">
        <f t="shared" si="42"/>
        <v/>
      </c>
    </row>
    <row r="1330" spans="9:10">
      <c r="I1330" s="62" t="str">
        <f t="shared" si="41"/>
        <v/>
      </c>
      <c r="J1330" s="63" t="str">
        <f t="shared" si="42"/>
        <v/>
      </c>
    </row>
    <row r="1331" spans="9:10">
      <c r="I1331" s="62" t="str">
        <f t="shared" si="41"/>
        <v/>
      </c>
      <c r="J1331" s="63" t="str">
        <f t="shared" si="42"/>
        <v/>
      </c>
    </row>
    <row r="1332" spans="9:10">
      <c r="I1332" s="62" t="str">
        <f t="shared" si="41"/>
        <v/>
      </c>
      <c r="J1332" s="63" t="str">
        <f t="shared" si="42"/>
        <v/>
      </c>
    </row>
    <row r="1333" spans="9:10">
      <c r="I1333" s="62" t="str">
        <f t="shared" si="41"/>
        <v/>
      </c>
      <c r="J1333" s="63" t="str">
        <f t="shared" si="42"/>
        <v/>
      </c>
    </row>
    <row r="1334" spans="9:10">
      <c r="I1334" s="62" t="str">
        <f t="shared" si="41"/>
        <v/>
      </c>
      <c r="J1334" s="63" t="str">
        <f t="shared" si="42"/>
        <v/>
      </c>
    </row>
    <row r="1335" spans="9:10">
      <c r="I1335" s="62" t="str">
        <f t="shared" si="41"/>
        <v/>
      </c>
      <c r="J1335" s="63" t="str">
        <f t="shared" si="42"/>
        <v/>
      </c>
    </row>
    <row r="1336" spans="9:10">
      <c r="I1336" s="62" t="str">
        <f t="shared" si="41"/>
        <v/>
      </c>
      <c r="J1336" s="63" t="str">
        <f t="shared" si="42"/>
        <v/>
      </c>
    </row>
    <row r="1337" spans="9:10">
      <c r="I1337" s="62" t="str">
        <f t="shared" si="41"/>
        <v/>
      </c>
      <c r="J1337" s="63" t="str">
        <f t="shared" si="42"/>
        <v/>
      </c>
    </row>
    <row r="1338" spans="9:10">
      <c r="I1338" s="62" t="str">
        <f t="shared" si="41"/>
        <v/>
      </c>
      <c r="J1338" s="63" t="str">
        <f t="shared" si="42"/>
        <v/>
      </c>
    </row>
    <row r="1339" spans="9:10">
      <c r="I1339" s="62" t="str">
        <f t="shared" si="41"/>
        <v/>
      </c>
      <c r="J1339" s="63" t="str">
        <f t="shared" si="42"/>
        <v/>
      </c>
    </row>
    <row r="1340" spans="9:10">
      <c r="I1340" s="62" t="str">
        <f t="shared" si="41"/>
        <v/>
      </c>
      <c r="J1340" s="63" t="str">
        <f t="shared" si="42"/>
        <v/>
      </c>
    </row>
    <row r="1341" spans="9:10">
      <c r="I1341" s="62" t="str">
        <f t="shared" si="41"/>
        <v/>
      </c>
      <c r="J1341" s="63" t="str">
        <f t="shared" si="42"/>
        <v/>
      </c>
    </row>
    <row r="1342" spans="9:10">
      <c r="I1342" s="62" t="str">
        <f t="shared" si="41"/>
        <v/>
      </c>
      <c r="J1342" s="63" t="str">
        <f t="shared" si="42"/>
        <v/>
      </c>
    </row>
    <row r="1343" spans="9:10">
      <c r="I1343" s="62" t="str">
        <f t="shared" si="41"/>
        <v/>
      </c>
      <c r="J1343" s="63" t="str">
        <f t="shared" si="42"/>
        <v/>
      </c>
    </row>
    <row r="1344" spans="9:10">
      <c r="I1344" s="62" t="str">
        <f t="shared" si="41"/>
        <v/>
      </c>
      <c r="J1344" s="63" t="str">
        <f t="shared" si="42"/>
        <v/>
      </c>
    </row>
    <row r="1345" spans="9:10">
      <c r="I1345" s="62" t="str">
        <f t="shared" si="41"/>
        <v/>
      </c>
      <c r="J1345" s="63" t="str">
        <f t="shared" si="42"/>
        <v/>
      </c>
    </row>
    <row r="1346" spans="9:10">
      <c r="I1346" s="62" t="str">
        <f t="shared" si="41"/>
        <v/>
      </c>
      <c r="J1346" s="63" t="str">
        <f t="shared" si="42"/>
        <v/>
      </c>
    </row>
    <row r="1347" spans="9:10">
      <c r="I1347" s="62" t="str">
        <f t="shared" si="41"/>
        <v/>
      </c>
      <c r="J1347" s="63" t="str">
        <f t="shared" si="42"/>
        <v/>
      </c>
    </row>
    <row r="1348" spans="9:10">
      <c r="I1348" s="62" t="str">
        <f t="shared" si="41"/>
        <v/>
      </c>
      <c r="J1348" s="63" t="str">
        <f t="shared" si="42"/>
        <v/>
      </c>
    </row>
    <row r="1349" spans="9:10">
      <c r="I1349" s="62" t="str">
        <f t="shared" si="41"/>
        <v/>
      </c>
      <c r="J1349" s="63" t="str">
        <f t="shared" si="42"/>
        <v/>
      </c>
    </row>
    <row r="1350" spans="9:10">
      <c r="I1350" s="62" t="str">
        <f t="shared" si="41"/>
        <v/>
      </c>
      <c r="J1350" s="63" t="str">
        <f t="shared" si="42"/>
        <v/>
      </c>
    </row>
    <row r="1351" spans="9:10">
      <c r="I1351" s="62" t="str">
        <f t="shared" si="41"/>
        <v/>
      </c>
      <c r="J1351" s="63" t="str">
        <f t="shared" si="42"/>
        <v/>
      </c>
    </row>
    <row r="1352" spans="9:10">
      <c r="I1352" s="62" t="str">
        <f t="shared" si="41"/>
        <v/>
      </c>
      <c r="J1352" s="63" t="str">
        <f t="shared" si="42"/>
        <v/>
      </c>
    </row>
    <row r="1353" spans="9:10">
      <c r="I1353" s="62" t="str">
        <f t="shared" si="41"/>
        <v/>
      </c>
      <c r="J1353" s="63" t="str">
        <f t="shared" si="42"/>
        <v/>
      </c>
    </row>
    <row r="1354" spans="9:10">
      <c r="I1354" s="62" t="str">
        <f t="shared" si="41"/>
        <v/>
      </c>
      <c r="J1354" s="63" t="str">
        <f t="shared" si="42"/>
        <v/>
      </c>
    </row>
    <row r="1355" spans="9:10">
      <c r="I1355" s="62" t="str">
        <f t="shared" si="41"/>
        <v/>
      </c>
      <c r="J1355" s="63" t="str">
        <f t="shared" si="42"/>
        <v/>
      </c>
    </row>
    <row r="1356" spans="9:10">
      <c r="I1356" s="62" t="str">
        <f t="shared" ref="I1356:I1419" si="43">IF(B1356="","",IF(B1356="Total",I1354,IF(B1354="Total",I1354, IF(ISNUMBER(A1356),A1356,I1355))))</f>
        <v/>
      </c>
      <c r="J1356" s="63" t="str">
        <f t="shared" si="42"/>
        <v/>
      </c>
    </row>
    <row r="1357" spans="9:10">
      <c r="I1357" s="62" t="str">
        <f t="shared" si="43"/>
        <v/>
      </c>
      <c r="J1357" s="63" t="str">
        <f t="shared" si="42"/>
        <v/>
      </c>
    </row>
    <row r="1358" spans="9:10">
      <c r="I1358" s="62" t="str">
        <f t="shared" si="43"/>
        <v/>
      </c>
      <c r="J1358" s="63" t="str">
        <f t="shared" si="42"/>
        <v/>
      </c>
    </row>
    <row r="1359" spans="9:10">
      <c r="I1359" s="62" t="str">
        <f t="shared" si="43"/>
        <v/>
      </c>
      <c r="J1359" s="63" t="str">
        <f t="shared" ref="J1359:J1422" si="44">IF(B1359="","",IF(B1359="Total",J1357,IF(B1357="Total",J1357,IF(A1359="",J1358,IF(ISNUMBER(A1358),B1358,IF(ISNUMBER(A1359),B1359,J1358))))))</f>
        <v/>
      </c>
    </row>
    <row r="1360" spans="9:10">
      <c r="I1360" s="62" t="str">
        <f t="shared" si="43"/>
        <v/>
      </c>
      <c r="J1360" s="63" t="str">
        <f t="shared" si="44"/>
        <v/>
      </c>
    </row>
    <row r="1361" spans="9:10">
      <c r="I1361" s="62" t="str">
        <f t="shared" si="43"/>
        <v/>
      </c>
      <c r="J1361" s="63" t="str">
        <f t="shared" si="44"/>
        <v/>
      </c>
    </row>
    <row r="1362" spans="9:10">
      <c r="I1362" s="62" t="str">
        <f t="shared" si="43"/>
        <v/>
      </c>
      <c r="J1362" s="63" t="str">
        <f t="shared" si="44"/>
        <v/>
      </c>
    </row>
    <row r="1363" spans="9:10">
      <c r="I1363" s="62" t="str">
        <f t="shared" si="43"/>
        <v/>
      </c>
      <c r="J1363" s="63" t="str">
        <f t="shared" si="44"/>
        <v/>
      </c>
    </row>
    <row r="1364" spans="9:10">
      <c r="I1364" s="62" t="str">
        <f t="shared" si="43"/>
        <v/>
      </c>
      <c r="J1364" s="63" t="str">
        <f t="shared" si="44"/>
        <v/>
      </c>
    </row>
    <row r="1365" spans="9:10">
      <c r="I1365" s="62" t="str">
        <f t="shared" si="43"/>
        <v/>
      </c>
      <c r="J1365" s="63" t="str">
        <f t="shared" si="44"/>
        <v/>
      </c>
    </row>
    <row r="1366" spans="9:10">
      <c r="I1366" s="62" t="str">
        <f t="shared" si="43"/>
        <v/>
      </c>
      <c r="J1366" s="63" t="str">
        <f t="shared" si="44"/>
        <v/>
      </c>
    </row>
    <row r="1367" spans="9:10">
      <c r="I1367" s="62" t="str">
        <f t="shared" si="43"/>
        <v/>
      </c>
      <c r="J1367" s="63" t="str">
        <f t="shared" si="44"/>
        <v/>
      </c>
    </row>
    <row r="1368" spans="9:10">
      <c r="I1368" s="62" t="str">
        <f t="shared" si="43"/>
        <v/>
      </c>
      <c r="J1368" s="63" t="str">
        <f t="shared" si="44"/>
        <v/>
      </c>
    </row>
    <row r="1369" spans="9:10">
      <c r="I1369" s="62" t="str">
        <f t="shared" si="43"/>
        <v/>
      </c>
      <c r="J1369" s="63" t="str">
        <f t="shared" si="44"/>
        <v/>
      </c>
    </row>
    <row r="1370" spans="9:10">
      <c r="I1370" s="62" t="str">
        <f t="shared" si="43"/>
        <v/>
      </c>
      <c r="J1370" s="63" t="str">
        <f t="shared" si="44"/>
        <v/>
      </c>
    </row>
    <row r="1371" spans="9:10">
      <c r="I1371" s="62" t="str">
        <f t="shared" si="43"/>
        <v/>
      </c>
      <c r="J1371" s="63" t="str">
        <f t="shared" si="44"/>
        <v/>
      </c>
    </row>
    <row r="1372" spans="9:10">
      <c r="I1372" s="62" t="str">
        <f t="shared" si="43"/>
        <v/>
      </c>
      <c r="J1372" s="63" t="str">
        <f t="shared" si="44"/>
        <v/>
      </c>
    </row>
    <row r="1373" spans="9:10">
      <c r="I1373" s="62" t="str">
        <f t="shared" si="43"/>
        <v/>
      </c>
      <c r="J1373" s="63" t="str">
        <f t="shared" si="44"/>
        <v/>
      </c>
    </row>
    <row r="1374" spans="9:10">
      <c r="I1374" s="62" t="str">
        <f t="shared" si="43"/>
        <v/>
      </c>
      <c r="J1374" s="63" t="str">
        <f t="shared" si="44"/>
        <v/>
      </c>
    </row>
    <row r="1375" spans="9:10">
      <c r="I1375" s="62" t="str">
        <f t="shared" si="43"/>
        <v/>
      </c>
      <c r="J1375" s="63" t="str">
        <f t="shared" si="44"/>
        <v/>
      </c>
    </row>
    <row r="1376" spans="9:10">
      <c r="I1376" s="62" t="str">
        <f t="shared" si="43"/>
        <v/>
      </c>
      <c r="J1376" s="63" t="str">
        <f t="shared" si="44"/>
        <v/>
      </c>
    </row>
    <row r="1377" spans="9:10">
      <c r="I1377" s="62" t="str">
        <f t="shared" si="43"/>
        <v/>
      </c>
      <c r="J1377" s="63" t="str">
        <f t="shared" si="44"/>
        <v/>
      </c>
    </row>
    <row r="1378" spans="9:10">
      <c r="I1378" s="62" t="str">
        <f t="shared" si="43"/>
        <v/>
      </c>
      <c r="J1378" s="63" t="str">
        <f t="shared" si="44"/>
        <v/>
      </c>
    </row>
    <row r="1379" spans="9:10">
      <c r="I1379" s="62" t="str">
        <f t="shared" si="43"/>
        <v/>
      </c>
      <c r="J1379" s="63" t="str">
        <f t="shared" si="44"/>
        <v/>
      </c>
    </row>
    <row r="1380" spans="9:10">
      <c r="I1380" s="62" t="str">
        <f t="shared" si="43"/>
        <v/>
      </c>
      <c r="J1380" s="63" t="str">
        <f t="shared" si="44"/>
        <v/>
      </c>
    </row>
    <row r="1381" spans="9:10">
      <c r="I1381" s="62" t="str">
        <f t="shared" si="43"/>
        <v/>
      </c>
      <c r="J1381" s="63" t="str">
        <f t="shared" si="44"/>
        <v/>
      </c>
    </row>
    <row r="1382" spans="9:10">
      <c r="I1382" s="62" t="str">
        <f t="shared" si="43"/>
        <v/>
      </c>
      <c r="J1382" s="63" t="str">
        <f t="shared" si="44"/>
        <v/>
      </c>
    </row>
    <row r="1383" spans="9:10">
      <c r="I1383" s="62" t="str">
        <f t="shared" si="43"/>
        <v/>
      </c>
      <c r="J1383" s="63" t="str">
        <f t="shared" si="44"/>
        <v/>
      </c>
    </row>
    <row r="1384" spans="9:10">
      <c r="I1384" s="62" t="str">
        <f t="shared" si="43"/>
        <v/>
      </c>
      <c r="J1384" s="63" t="str">
        <f t="shared" si="44"/>
        <v/>
      </c>
    </row>
    <row r="1385" spans="9:10">
      <c r="I1385" s="62" t="str">
        <f t="shared" si="43"/>
        <v/>
      </c>
      <c r="J1385" s="63" t="str">
        <f t="shared" si="44"/>
        <v/>
      </c>
    </row>
    <row r="1386" spans="9:10">
      <c r="I1386" s="62" t="str">
        <f t="shared" si="43"/>
        <v/>
      </c>
      <c r="J1386" s="63" t="str">
        <f t="shared" si="44"/>
        <v/>
      </c>
    </row>
    <row r="1387" spans="9:10">
      <c r="I1387" s="62" t="str">
        <f t="shared" si="43"/>
        <v/>
      </c>
      <c r="J1387" s="63" t="str">
        <f t="shared" si="44"/>
        <v/>
      </c>
    </row>
    <row r="1388" spans="9:10">
      <c r="I1388" s="62" t="str">
        <f t="shared" si="43"/>
        <v/>
      </c>
      <c r="J1388" s="63" t="str">
        <f t="shared" si="44"/>
        <v/>
      </c>
    </row>
    <row r="1389" spans="9:10">
      <c r="I1389" s="62" t="str">
        <f t="shared" si="43"/>
        <v/>
      </c>
      <c r="J1389" s="63" t="str">
        <f t="shared" si="44"/>
        <v/>
      </c>
    </row>
    <row r="1390" spans="9:10">
      <c r="I1390" s="62" t="str">
        <f t="shared" si="43"/>
        <v/>
      </c>
      <c r="J1390" s="63" t="str">
        <f t="shared" si="44"/>
        <v/>
      </c>
    </row>
    <row r="1391" spans="9:10">
      <c r="I1391" s="62" t="str">
        <f t="shared" si="43"/>
        <v/>
      </c>
      <c r="J1391" s="63" t="str">
        <f t="shared" si="44"/>
        <v/>
      </c>
    </row>
    <row r="1392" spans="9:10">
      <c r="I1392" s="62" t="str">
        <f t="shared" si="43"/>
        <v/>
      </c>
      <c r="J1392" s="63" t="str">
        <f t="shared" si="44"/>
        <v/>
      </c>
    </row>
    <row r="1393" spans="9:10">
      <c r="I1393" s="62" t="str">
        <f t="shared" si="43"/>
        <v/>
      </c>
      <c r="J1393" s="63" t="str">
        <f t="shared" si="44"/>
        <v/>
      </c>
    </row>
    <row r="1394" spans="9:10">
      <c r="I1394" s="62" t="str">
        <f t="shared" si="43"/>
        <v/>
      </c>
      <c r="J1394" s="63" t="str">
        <f t="shared" si="44"/>
        <v/>
      </c>
    </row>
    <row r="1395" spans="9:10">
      <c r="I1395" s="62" t="str">
        <f t="shared" si="43"/>
        <v/>
      </c>
      <c r="J1395" s="63" t="str">
        <f t="shared" si="44"/>
        <v/>
      </c>
    </row>
    <row r="1396" spans="9:10">
      <c r="I1396" s="62" t="str">
        <f t="shared" si="43"/>
        <v/>
      </c>
      <c r="J1396" s="63" t="str">
        <f t="shared" si="44"/>
        <v/>
      </c>
    </row>
    <row r="1397" spans="9:10">
      <c r="I1397" s="62" t="str">
        <f t="shared" si="43"/>
        <v/>
      </c>
      <c r="J1397" s="63" t="str">
        <f t="shared" si="44"/>
        <v/>
      </c>
    </row>
    <row r="1398" spans="9:10">
      <c r="I1398" s="62" t="str">
        <f t="shared" si="43"/>
        <v/>
      </c>
      <c r="J1398" s="63" t="str">
        <f t="shared" si="44"/>
        <v/>
      </c>
    </row>
    <row r="1399" spans="9:10">
      <c r="I1399" s="62" t="str">
        <f t="shared" si="43"/>
        <v/>
      </c>
      <c r="J1399" s="63" t="str">
        <f t="shared" si="44"/>
        <v/>
      </c>
    </row>
    <row r="1400" spans="9:10">
      <c r="I1400" s="62" t="str">
        <f t="shared" si="43"/>
        <v/>
      </c>
      <c r="J1400" s="63" t="str">
        <f t="shared" si="44"/>
        <v/>
      </c>
    </row>
    <row r="1401" spans="9:10">
      <c r="I1401" s="62" t="str">
        <f t="shared" si="43"/>
        <v/>
      </c>
      <c r="J1401" s="63" t="str">
        <f t="shared" si="44"/>
        <v/>
      </c>
    </row>
    <row r="1402" spans="9:10">
      <c r="I1402" s="62" t="str">
        <f t="shared" si="43"/>
        <v/>
      </c>
      <c r="J1402" s="63" t="str">
        <f t="shared" si="44"/>
        <v/>
      </c>
    </row>
    <row r="1403" spans="9:10">
      <c r="I1403" s="62" t="str">
        <f t="shared" si="43"/>
        <v/>
      </c>
      <c r="J1403" s="63" t="str">
        <f t="shared" si="44"/>
        <v/>
      </c>
    </row>
    <row r="1404" spans="9:10">
      <c r="I1404" s="62" t="str">
        <f t="shared" si="43"/>
        <v/>
      </c>
      <c r="J1404" s="63" t="str">
        <f t="shared" si="44"/>
        <v/>
      </c>
    </row>
    <row r="1405" spans="9:10">
      <c r="I1405" s="62" t="str">
        <f t="shared" si="43"/>
        <v/>
      </c>
      <c r="J1405" s="63" t="str">
        <f t="shared" si="44"/>
        <v/>
      </c>
    </row>
    <row r="1406" spans="9:10">
      <c r="I1406" s="62" t="str">
        <f t="shared" si="43"/>
        <v/>
      </c>
      <c r="J1406" s="63" t="str">
        <f t="shared" si="44"/>
        <v/>
      </c>
    </row>
    <row r="1407" spans="9:10">
      <c r="I1407" s="62" t="str">
        <f t="shared" si="43"/>
        <v/>
      </c>
      <c r="J1407" s="63" t="str">
        <f t="shared" si="44"/>
        <v/>
      </c>
    </row>
    <row r="1408" spans="9:10">
      <c r="I1408" s="62" t="str">
        <f t="shared" si="43"/>
        <v/>
      </c>
      <c r="J1408" s="63" t="str">
        <f t="shared" si="44"/>
        <v/>
      </c>
    </row>
    <row r="1409" spans="9:10">
      <c r="I1409" s="62" t="str">
        <f t="shared" si="43"/>
        <v/>
      </c>
      <c r="J1409" s="63" t="str">
        <f t="shared" si="44"/>
        <v/>
      </c>
    </row>
    <row r="1410" spans="9:10">
      <c r="I1410" s="62" t="str">
        <f t="shared" si="43"/>
        <v/>
      </c>
      <c r="J1410" s="63" t="str">
        <f t="shared" si="44"/>
        <v/>
      </c>
    </row>
    <row r="1411" spans="9:10">
      <c r="I1411" s="62" t="str">
        <f t="shared" si="43"/>
        <v/>
      </c>
      <c r="J1411" s="63" t="str">
        <f t="shared" si="44"/>
        <v/>
      </c>
    </row>
    <row r="1412" spans="9:10">
      <c r="I1412" s="62" t="str">
        <f t="shared" si="43"/>
        <v/>
      </c>
      <c r="J1412" s="63" t="str">
        <f t="shared" si="44"/>
        <v/>
      </c>
    </row>
    <row r="1413" spans="9:10">
      <c r="I1413" s="62" t="str">
        <f t="shared" si="43"/>
        <v/>
      </c>
      <c r="J1413" s="63" t="str">
        <f t="shared" si="44"/>
        <v/>
      </c>
    </row>
    <row r="1414" spans="9:10">
      <c r="I1414" s="62" t="str">
        <f t="shared" si="43"/>
        <v/>
      </c>
      <c r="J1414" s="63" t="str">
        <f t="shared" si="44"/>
        <v/>
      </c>
    </row>
    <row r="1415" spans="9:10">
      <c r="I1415" s="62" t="str">
        <f t="shared" si="43"/>
        <v/>
      </c>
      <c r="J1415" s="63" t="str">
        <f t="shared" si="44"/>
        <v/>
      </c>
    </row>
    <row r="1416" spans="9:10">
      <c r="I1416" s="62" t="str">
        <f t="shared" si="43"/>
        <v/>
      </c>
      <c r="J1416" s="63" t="str">
        <f t="shared" si="44"/>
        <v/>
      </c>
    </row>
    <row r="1417" spans="9:10">
      <c r="I1417" s="62" t="str">
        <f t="shared" si="43"/>
        <v/>
      </c>
      <c r="J1417" s="63" t="str">
        <f t="shared" si="44"/>
        <v/>
      </c>
    </row>
    <row r="1418" spans="9:10">
      <c r="I1418" s="62" t="str">
        <f t="shared" si="43"/>
        <v/>
      </c>
      <c r="J1418" s="63" t="str">
        <f t="shared" si="44"/>
        <v/>
      </c>
    </row>
    <row r="1419" spans="9:10">
      <c r="I1419" s="62" t="str">
        <f t="shared" si="43"/>
        <v/>
      </c>
      <c r="J1419" s="63" t="str">
        <f t="shared" si="44"/>
        <v/>
      </c>
    </row>
    <row r="1420" spans="9:10">
      <c r="I1420" s="62" t="str">
        <f t="shared" ref="I1420:I1483" si="45">IF(B1420="","",IF(B1420="Total",I1418,IF(B1418="Total",I1418, IF(ISNUMBER(A1420),A1420,I1419))))</f>
        <v/>
      </c>
      <c r="J1420" s="63" t="str">
        <f t="shared" si="44"/>
        <v/>
      </c>
    </row>
    <row r="1421" spans="9:10">
      <c r="I1421" s="62" t="str">
        <f t="shared" si="45"/>
        <v/>
      </c>
      <c r="J1421" s="63" t="str">
        <f t="shared" si="44"/>
        <v/>
      </c>
    </row>
    <row r="1422" spans="9:10">
      <c r="I1422" s="62" t="str">
        <f t="shared" si="45"/>
        <v/>
      </c>
      <c r="J1422" s="63" t="str">
        <f t="shared" si="44"/>
        <v/>
      </c>
    </row>
    <row r="1423" spans="9:10">
      <c r="I1423" s="62" t="str">
        <f t="shared" si="45"/>
        <v/>
      </c>
      <c r="J1423" s="63" t="str">
        <f t="shared" ref="J1423:J1486" si="46">IF(B1423="","",IF(B1423="Total",J1421,IF(B1421="Total",J1421,IF(A1423="",J1422,IF(ISNUMBER(A1422),B1422,IF(ISNUMBER(A1423),B1423,J1422))))))</f>
        <v/>
      </c>
    </row>
    <row r="1424" spans="9:10">
      <c r="I1424" s="62" t="str">
        <f t="shared" si="45"/>
        <v/>
      </c>
      <c r="J1424" s="63" t="str">
        <f t="shared" si="46"/>
        <v/>
      </c>
    </row>
    <row r="1425" spans="9:10">
      <c r="I1425" s="62" t="str">
        <f t="shared" si="45"/>
        <v/>
      </c>
      <c r="J1425" s="63" t="str">
        <f t="shared" si="46"/>
        <v/>
      </c>
    </row>
    <row r="1426" spans="9:10">
      <c r="I1426" s="62" t="str">
        <f t="shared" si="45"/>
        <v/>
      </c>
      <c r="J1426" s="63" t="str">
        <f t="shared" si="46"/>
        <v/>
      </c>
    </row>
    <row r="1427" spans="9:10">
      <c r="I1427" s="62" t="str">
        <f t="shared" si="45"/>
        <v/>
      </c>
      <c r="J1427" s="63" t="str">
        <f t="shared" si="46"/>
        <v/>
      </c>
    </row>
    <row r="1428" spans="9:10">
      <c r="I1428" s="62" t="str">
        <f t="shared" si="45"/>
        <v/>
      </c>
      <c r="J1428" s="63" t="str">
        <f t="shared" si="46"/>
        <v/>
      </c>
    </row>
    <row r="1429" spans="9:10">
      <c r="I1429" s="62" t="str">
        <f t="shared" si="45"/>
        <v/>
      </c>
      <c r="J1429" s="63" t="str">
        <f t="shared" si="46"/>
        <v/>
      </c>
    </row>
    <row r="1430" spans="9:10">
      <c r="I1430" s="62" t="str">
        <f t="shared" si="45"/>
        <v/>
      </c>
      <c r="J1430" s="63" t="str">
        <f t="shared" si="46"/>
        <v/>
      </c>
    </row>
    <row r="1431" spans="9:10">
      <c r="I1431" s="62" t="str">
        <f t="shared" si="45"/>
        <v/>
      </c>
      <c r="J1431" s="63" t="str">
        <f t="shared" si="46"/>
        <v/>
      </c>
    </row>
    <row r="1432" spans="9:10">
      <c r="I1432" s="62" t="str">
        <f t="shared" si="45"/>
        <v/>
      </c>
      <c r="J1432" s="63" t="str">
        <f t="shared" si="46"/>
        <v/>
      </c>
    </row>
    <row r="1433" spans="9:10">
      <c r="I1433" s="62" t="str">
        <f t="shared" si="45"/>
        <v/>
      </c>
      <c r="J1433" s="63" t="str">
        <f t="shared" si="46"/>
        <v/>
      </c>
    </row>
    <row r="1434" spans="9:10">
      <c r="I1434" s="62" t="str">
        <f t="shared" si="45"/>
        <v/>
      </c>
      <c r="J1434" s="63" t="str">
        <f t="shared" si="46"/>
        <v/>
      </c>
    </row>
    <row r="1435" spans="9:10">
      <c r="I1435" s="62" t="str">
        <f t="shared" si="45"/>
        <v/>
      </c>
      <c r="J1435" s="63" t="str">
        <f t="shared" si="46"/>
        <v/>
      </c>
    </row>
    <row r="1436" spans="9:10">
      <c r="I1436" s="62" t="str">
        <f t="shared" si="45"/>
        <v/>
      </c>
      <c r="J1436" s="63" t="str">
        <f t="shared" si="46"/>
        <v/>
      </c>
    </row>
    <row r="1437" spans="9:10">
      <c r="I1437" s="62" t="str">
        <f t="shared" si="45"/>
        <v/>
      </c>
      <c r="J1437" s="63" t="str">
        <f t="shared" si="46"/>
        <v/>
      </c>
    </row>
    <row r="1438" spans="9:10">
      <c r="I1438" s="62" t="str">
        <f t="shared" si="45"/>
        <v/>
      </c>
      <c r="J1438" s="63" t="str">
        <f t="shared" si="46"/>
        <v/>
      </c>
    </row>
    <row r="1439" spans="9:10">
      <c r="I1439" s="62" t="str">
        <f t="shared" si="45"/>
        <v/>
      </c>
      <c r="J1439" s="63" t="str">
        <f t="shared" si="46"/>
        <v/>
      </c>
    </row>
    <row r="1440" spans="9:10">
      <c r="I1440" s="62" t="str">
        <f t="shared" si="45"/>
        <v/>
      </c>
      <c r="J1440" s="63" t="str">
        <f t="shared" si="46"/>
        <v/>
      </c>
    </row>
    <row r="1441" spans="9:10">
      <c r="I1441" s="62" t="str">
        <f t="shared" si="45"/>
        <v/>
      </c>
      <c r="J1441" s="63" t="str">
        <f t="shared" si="46"/>
        <v/>
      </c>
    </row>
    <row r="1442" spans="9:10">
      <c r="I1442" s="62" t="str">
        <f t="shared" si="45"/>
        <v/>
      </c>
      <c r="J1442" s="63" t="str">
        <f t="shared" si="46"/>
        <v/>
      </c>
    </row>
    <row r="1443" spans="9:10">
      <c r="I1443" s="62" t="str">
        <f t="shared" si="45"/>
        <v/>
      </c>
      <c r="J1443" s="63" t="str">
        <f t="shared" si="46"/>
        <v/>
      </c>
    </row>
    <row r="1444" spans="9:10">
      <c r="I1444" s="62" t="str">
        <f t="shared" si="45"/>
        <v/>
      </c>
      <c r="J1444" s="63" t="str">
        <f t="shared" si="46"/>
        <v/>
      </c>
    </row>
    <row r="1445" spans="9:10">
      <c r="I1445" s="62" t="str">
        <f t="shared" si="45"/>
        <v/>
      </c>
      <c r="J1445" s="63" t="str">
        <f t="shared" si="46"/>
        <v/>
      </c>
    </row>
    <row r="1446" spans="9:10">
      <c r="I1446" s="62" t="str">
        <f t="shared" si="45"/>
        <v/>
      </c>
      <c r="J1446" s="63" t="str">
        <f t="shared" si="46"/>
        <v/>
      </c>
    </row>
    <row r="1447" spans="9:10">
      <c r="I1447" s="62" t="str">
        <f t="shared" si="45"/>
        <v/>
      </c>
      <c r="J1447" s="63" t="str">
        <f t="shared" si="46"/>
        <v/>
      </c>
    </row>
    <row r="1448" spans="9:10">
      <c r="I1448" s="62" t="str">
        <f t="shared" si="45"/>
        <v/>
      </c>
      <c r="J1448" s="63" t="str">
        <f t="shared" si="46"/>
        <v/>
      </c>
    </row>
    <row r="1449" spans="9:10">
      <c r="I1449" s="62" t="str">
        <f t="shared" si="45"/>
        <v/>
      </c>
      <c r="J1449" s="63" t="str">
        <f t="shared" si="46"/>
        <v/>
      </c>
    </row>
    <row r="1450" spans="9:10">
      <c r="I1450" s="62" t="str">
        <f t="shared" si="45"/>
        <v/>
      </c>
      <c r="J1450" s="63" t="str">
        <f t="shared" si="46"/>
        <v/>
      </c>
    </row>
    <row r="1451" spans="9:10">
      <c r="I1451" s="62" t="str">
        <f t="shared" si="45"/>
        <v/>
      </c>
      <c r="J1451" s="63" t="str">
        <f t="shared" si="46"/>
        <v/>
      </c>
    </row>
    <row r="1452" spans="9:10">
      <c r="I1452" s="62" t="str">
        <f t="shared" si="45"/>
        <v/>
      </c>
      <c r="J1452" s="63" t="str">
        <f t="shared" si="46"/>
        <v/>
      </c>
    </row>
    <row r="1453" spans="9:10">
      <c r="I1453" s="62" t="str">
        <f t="shared" si="45"/>
        <v/>
      </c>
      <c r="J1453" s="63" t="str">
        <f t="shared" si="46"/>
        <v/>
      </c>
    </row>
    <row r="1454" spans="9:10">
      <c r="I1454" s="62" t="str">
        <f t="shared" si="45"/>
        <v/>
      </c>
      <c r="J1454" s="63" t="str">
        <f t="shared" si="46"/>
        <v/>
      </c>
    </row>
    <row r="1455" spans="9:10">
      <c r="I1455" s="62" t="str">
        <f t="shared" si="45"/>
        <v/>
      </c>
      <c r="J1455" s="63" t="str">
        <f t="shared" si="46"/>
        <v/>
      </c>
    </row>
    <row r="1456" spans="9:10">
      <c r="I1456" s="62" t="str">
        <f t="shared" si="45"/>
        <v/>
      </c>
      <c r="J1456" s="63" t="str">
        <f t="shared" si="46"/>
        <v/>
      </c>
    </row>
    <row r="1457" spans="9:10">
      <c r="I1457" s="62" t="str">
        <f t="shared" si="45"/>
        <v/>
      </c>
      <c r="J1457" s="63" t="str">
        <f t="shared" si="46"/>
        <v/>
      </c>
    </row>
    <row r="1458" spans="9:10">
      <c r="I1458" s="62" t="str">
        <f t="shared" si="45"/>
        <v/>
      </c>
      <c r="J1458" s="63" t="str">
        <f t="shared" si="46"/>
        <v/>
      </c>
    </row>
    <row r="1459" spans="9:10">
      <c r="I1459" s="62" t="str">
        <f t="shared" si="45"/>
        <v/>
      </c>
      <c r="J1459" s="63" t="str">
        <f t="shared" si="46"/>
        <v/>
      </c>
    </row>
    <row r="1460" spans="9:10">
      <c r="I1460" s="62" t="str">
        <f t="shared" si="45"/>
        <v/>
      </c>
      <c r="J1460" s="63" t="str">
        <f t="shared" si="46"/>
        <v/>
      </c>
    </row>
    <row r="1461" spans="9:10">
      <c r="I1461" s="62" t="str">
        <f t="shared" si="45"/>
        <v/>
      </c>
      <c r="J1461" s="63" t="str">
        <f t="shared" si="46"/>
        <v/>
      </c>
    </row>
    <row r="1462" spans="9:10">
      <c r="I1462" s="62" t="str">
        <f t="shared" si="45"/>
        <v/>
      </c>
      <c r="J1462" s="63" t="str">
        <f t="shared" si="46"/>
        <v/>
      </c>
    </row>
    <row r="1463" spans="9:10">
      <c r="I1463" s="62" t="str">
        <f t="shared" si="45"/>
        <v/>
      </c>
      <c r="J1463" s="63" t="str">
        <f t="shared" si="46"/>
        <v/>
      </c>
    </row>
    <row r="1464" spans="9:10">
      <c r="I1464" s="62" t="str">
        <f t="shared" si="45"/>
        <v/>
      </c>
      <c r="J1464" s="63" t="str">
        <f t="shared" si="46"/>
        <v/>
      </c>
    </row>
    <row r="1465" spans="9:10">
      <c r="I1465" s="62" t="str">
        <f t="shared" si="45"/>
        <v/>
      </c>
      <c r="J1465" s="63" t="str">
        <f t="shared" si="46"/>
        <v/>
      </c>
    </row>
    <row r="1466" spans="9:10">
      <c r="I1466" s="62" t="str">
        <f t="shared" si="45"/>
        <v/>
      </c>
      <c r="J1466" s="63" t="str">
        <f t="shared" si="46"/>
        <v/>
      </c>
    </row>
    <row r="1467" spans="9:10">
      <c r="I1467" s="62" t="str">
        <f t="shared" si="45"/>
        <v/>
      </c>
      <c r="J1467" s="63" t="str">
        <f t="shared" si="46"/>
        <v/>
      </c>
    </row>
    <row r="1468" spans="9:10">
      <c r="I1468" s="62" t="str">
        <f t="shared" si="45"/>
        <v/>
      </c>
      <c r="J1468" s="63" t="str">
        <f t="shared" si="46"/>
        <v/>
      </c>
    </row>
    <row r="1469" spans="9:10">
      <c r="I1469" s="62" t="str">
        <f t="shared" si="45"/>
        <v/>
      </c>
      <c r="J1469" s="63" t="str">
        <f t="shared" si="46"/>
        <v/>
      </c>
    </row>
    <row r="1470" spans="9:10">
      <c r="I1470" s="62" t="str">
        <f t="shared" si="45"/>
        <v/>
      </c>
      <c r="J1470" s="63" t="str">
        <f t="shared" si="46"/>
        <v/>
      </c>
    </row>
    <row r="1471" spans="9:10">
      <c r="I1471" s="62" t="str">
        <f t="shared" si="45"/>
        <v/>
      </c>
      <c r="J1471" s="63" t="str">
        <f t="shared" si="46"/>
        <v/>
      </c>
    </row>
    <row r="1472" spans="9:10">
      <c r="I1472" s="62" t="str">
        <f t="shared" si="45"/>
        <v/>
      </c>
      <c r="J1472" s="63" t="str">
        <f t="shared" si="46"/>
        <v/>
      </c>
    </row>
    <row r="1473" spans="9:10">
      <c r="I1473" s="62" t="str">
        <f t="shared" si="45"/>
        <v/>
      </c>
      <c r="J1473" s="63" t="str">
        <f t="shared" si="46"/>
        <v/>
      </c>
    </row>
    <row r="1474" spans="9:10">
      <c r="I1474" s="62" t="str">
        <f t="shared" si="45"/>
        <v/>
      </c>
      <c r="J1474" s="63" t="str">
        <f t="shared" si="46"/>
        <v/>
      </c>
    </row>
    <row r="1475" spans="9:10">
      <c r="I1475" s="62" t="str">
        <f t="shared" si="45"/>
        <v/>
      </c>
      <c r="J1475" s="63" t="str">
        <f t="shared" si="46"/>
        <v/>
      </c>
    </row>
    <row r="1476" spans="9:10">
      <c r="I1476" s="62" t="str">
        <f t="shared" si="45"/>
        <v/>
      </c>
      <c r="J1476" s="63" t="str">
        <f t="shared" si="46"/>
        <v/>
      </c>
    </row>
    <row r="1477" spans="9:10">
      <c r="I1477" s="62" t="str">
        <f t="shared" si="45"/>
        <v/>
      </c>
      <c r="J1477" s="63" t="str">
        <f t="shared" si="46"/>
        <v/>
      </c>
    </row>
    <row r="1478" spans="9:10">
      <c r="I1478" s="62" t="str">
        <f t="shared" si="45"/>
        <v/>
      </c>
      <c r="J1478" s="63" t="str">
        <f t="shared" si="46"/>
        <v/>
      </c>
    </row>
    <row r="1479" spans="9:10">
      <c r="I1479" s="62" t="str">
        <f t="shared" si="45"/>
        <v/>
      </c>
      <c r="J1479" s="63" t="str">
        <f t="shared" si="46"/>
        <v/>
      </c>
    </row>
    <row r="1480" spans="9:10">
      <c r="I1480" s="62" t="str">
        <f t="shared" si="45"/>
        <v/>
      </c>
      <c r="J1480" s="63" t="str">
        <f t="shared" si="46"/>
        <v/>
      </c>
    </row>
    <row r="1481" spans="9:10">
      <c r="I1481" s="62" t="str">
        <f t="shared" si="45"/>
        <v/>
      </c>
      <c r="J1481" s="63" t="str">
        <f t="shared" si="46"/>
        <v/>
      </c>
    </row>
    <row r="1482" spans="9:10">
      <c r="I1482" s="62" t="str">
        <f t="shared" si="45"/>
        <v/>
      </c>
      <c r="J1482" s="63" t="str">
        <f t="shared" si="46"/>
        <v/>
      </c>
    </row>
    <row r="1483" spans="9:10">
      <c r="I1483" s="62" t="str">
        <f t="shared" si="45"/>
        <v/>
      </c>
      <c r="J1483" s="63" t="str">
        <f t="shared" si="46"/>
        <v/>
      </c>
    </row>
    <row r="1484" spans="9:10">
      <c r="I1484" s="62" t="str">
        <f t="shared" ref="I1484:I1547" si="47">IF(B1484="","",IF(B1484="Total",I1482,IF(B1482="Total",I1482, IF(ISNUMBER(A1484),A1484,I1483))))</f>
        <v/>
      </c>
      <c r="J1484" s="63" t="str">
        <f t="shared" si="46"/>
        <v/>
      </c>
    </row>
    <row r="1485" spans="9:10">
      <c r="I1485" s="62" t="str">
        <f t="shared" si="47"/>
        <v/>
      </c>
      <c r="J1485" s="63" t="str">
        <f t="shared" si="46"/>
        <v/>
      </c>
    </row>
    <row r="1486" spans="9:10">
      <c r="I1486" s="62" t="str">
        <f t="shared" si="47"/>
        <v/>
      </c>
      <c r="J1486" s="63" t="str">
        <f t="shared" si="46"/>
        <v/>
      </c>
    </row>
    <row r="1487" spans="9:10">
      <c r="I1487" s="62" t="str">
        <f t="shared" si="47"/>
        <v/>
      </c>
      <c r="J1487" s="63" t="str">
        <f t="shared" ref="J1487:J1550" si="48">IF(B1487="","",IF(B1487="Total",J1485,IF(B1485="Total",J1485,IF(A1487="",J1486,IF(ISNUMBER(A1486),B1486,IF(ISNUMBER(A1487),B1487,J1486))))))</f>
        <v/>
      </c>
    </row>
    <row r="1488" spans="9:10">
      <c r="I1488" s="62" t="str">
        <f t="shared" si="47"/>
        <v/>
      </c>
      <c r="J1488" s="63" t="str">
        <f t="shared" si="48"/>
        <v/>
      </c>
    </row>
    <row r="1489" spans="9:10">
      <c r="I1489" s="62" t="str">
        <f t="shared" si="47"/>
        <v/>
      </c>
      <c r="J1489" s="63" t="str">
        <f t="shared" si="48"/>
        <v/>
      </c>
    </row>
    <row r="1490" spans="9:10">
      <c r="I1490" s="62" t="str">
        <f t="shared" si="47"/>
        <v/>
      </c>
      <c r="J1490" s="63" t="str">
        <f t="shared" si="48"/>
        <v/>
      </c>
    </row>
    <row r="1491" spans="9:10">
      <c r="I1491" s="62" t="str">
        <f t="shared" si="47"/>
        <v/>
      </c>
      <c r="J1491" s="63" t="str">
        <f t="shared" si="48"/>
        <v/>
      </c>
    </row>
    <row r="1492" spans="9:10">
      <c r="I1492" s="62" t="str">
        <f t="shared" si="47"/>
        <v/>
      </c>
      <c r="J1492" s="63" t="str">
        <f t="shared" si="48"/>
        <v/>
      </c>
    </row>
    <row r="1493" spans="9:10">
      <c r="I1493" s="62" t="str">
        <f t="shared" si="47"/>
        <v/>
      </c>
      <c r="J1493" s="63" t="str">
        <f t="shared" si="48"/>
        <v/>
      </c>
    </row>
    <row r="1494" spans="9:10">
      <c r="I1494" s="62" t="str">
        <f t="shared" si="47"/>
        <v/>
      </c>
      <c r="J1494" s="63" t="str">
        <f t="shared" si="48"/>
        <v/>
      </c>
    </row>
    <row r="1495" spans="9:10">
      <c r="I1495" s="62" t="str">
        <f t="shared" si="47"/>
        <v/>
      </c>
      <c r="J1495" s="63" t="str">
        <f t="shared" si="48"/>
        <v/>
      </c>
    </row>
    <row r="1496" spans="9:10">
      <c r="I1496" s="62" t="str">
        <f t="shared" si="47"/>
        <v/>
      </c>
      <c r="J1496" s="63" t="str">
        <f t="shared" si="48"/>
        <v/>
      </c>
    </row>
    <row r="1497" spans="9:10">
      <c r="I1497" s="62" t="str">
        <f t="shared" si="47"/>
        <v/>
      </c>
      <c r="J1497" s="63" t="str">
        <f t="shared" si="48"/>
        <v/>
      </c>
    </row>
    <row r="1498" spans="9:10">
      <c r="I1498" s="62" t="str">
        <f t="shared" si="47"/>
        <v/>
      </c>
      <c r="J1498" s="63" t="str">
        <f t="shared" si="48"/>
        <v/>
      </c>
    </row>
    <row r="1499" spans="9:10">
      <c r="I1499" s="62" t="str">
        <f t="shared" si="47"/>
        <v/>
      </c>
      <c r="J1499" s="63" t="str">
        <f t="shared" si="48"/>
        <v/>
      </c>
    </row>
    <row r="1500" spans="9:10">
      <c r="I1500" s="62" t="str">
        <f t="shared" si="47"/>
        <v/>
      </c>
      <c r="J1500" s="63" t="str">
        <f t="shared" si="48"/>
        <v/>
      </c>
    </row>
    <row r="1501" spans="9:10">
      <c r="I1501" s="62" t="str">
        <f t="shared" si="47"/>
        <v/>
      </c>
      <c r="J1501" s="63" t="str">
        <f t="shared" si="48"/>
        <v/>
      </c>
    </row>
    <row r="1502" spans="9:10">
      <c r="I1502" s="62" t="str">
        <f t="shared" si="47"/>
        <v/>
      </c>
      <c r="J1502" s="63" t="str">
        <f t="shared" si="48"/>
        <v/>
      </c>
    </row>
    <row r="1503" spans="9:10">
      <c r="I1503" s="62" t="str">
        <f t="shared" si="47"/>
        <v/>
      </c>
      <c r="J1503" s="63" t="str">
        <f t="shared" si="48"/>
        <v/>
      </c>
    </row>
    <row r="1504" spans="9:10">
      <c r="I1504" s="62" t="str">
        <f t="shared" si="47"/>
        <v/>
      </c>
      <c r="J1504" s="63" t="str">
        <f t="shared" si="48"/>
        <v/>
      </c>
    </row>
    <row r="1505" spans="9:10">
      <c r="I1505" s="62" t="str">
        <f t="shared" si="47"/>
        <v/>
      </c>
      <c r="J1505" s="63" t="str">
        <f t="shared" si="48"/>
        <v/>
      </c>
    </row>
    <row r="1506" spans="9:10">
      <c r="I1506" s="62" t="str">
        <f t="shared" si="47"/>
        <v/>
      </c>
      <c r="J1506" s="63" t="str">
        <f t="shared" si="48"/>
        <v/>
      </c>
    </row>
    <row r="1507" spans="9:10">
      <c r="I1507" s="62" t="str">
        <f t="shared" si="47"/>
        <v/>
      </c>
      <c r="J1507" s="63" t="str">
        <f t="shared" si="48"/>
        <v/>
      </c>
    </row>
    <row r="1508" spans="9:10">
      <c r="I1508" s="62" t="str">
        <f t="shared" si="47"/>
        <v/>
      </c>
      <c r="J1508" s="63" t="str">
        <f t="shared" si="48"/>
        <v/>
      </c>
    </row>
    <row r="1509" spans="9:10">
      <c r="I1509" s="62" t="str">
        <f t="shared" si="47"/>
        <v/>
      </c>
      <c r="J1509" s="63" t="str">
        <f t="shared" si="48"/>
        <v/>
      </c>
    </row>
    <row r="1510" spans="9:10">
      <c r="I1510" s="62" t="str">
        <f t="shared" si="47"/>
        <v/>
      </c>
      <c r="J1510" s="63" t="str">
        <f t="shared" si="48"/>
        <v/>
      </c>
    </row>
    <row r="1511" spans="9:10">
      <c r="I1511" s="62" t="str">
        <f t="shared" si="47"/>
        <v/>
      </c>
      <c r="J1511" s="63" t="str">
        <f t="shared" si="48"/>
        <v/>
      </c>
    </row>
    <row r="1512" spans="9:10">
      <c r="I1512" s="62" t="str">
        <f t="shared" si="47"/>
        <v/>
      </c>
      <c r="J1512" s="63" t="str">
        <f t="shared" si="48"/>
        <v/>
      </c>
    </row>
    <row r="1513" spans="9:10">
      <c r="I1513" s="62" t="str">
        <f t="shared" si="47"/>
        <v/>
      </c>
      <c r="J1513" s="63" t="str">
        <f t="shared" si="48"/>
        <v/>
      </c>
    </row>
    <row r="1514" spans="9:10">
      <c r="I1514" s="62" t="str">
        <f t="shared" si="47"/>
        <v/>
      </c>
      <c r="J1514" s="63" t="str">
        <f t="shared" si="48"/>
        <v/>
      </c>
    </row>
    <row r="1515" spans="9:10">
      <c r="I1515" s="62" t="str">
        <f t="shared" si="47"/>
        <v/>
      </c>
      <c r="J1515" s="63" t="str">
        <f t="shared" si="48"/>
        <v/>
      </c>
    </row>
    <row r="1516" spans="9:10">
      <c r="I1516" s="62" t="str">
        <f t="shared" si="47"/>
        <v/>
      </c>
      <c r="J1516" s="63" t="str">
        <f t="shared" si="48"/>
        <v/>
      </c>
    </row>
    <row r="1517" spans="9:10">
      <c r="I1517" s="62" t="str">
        <f t="shared" si="47"/>
        <v/>
      </c>
      <c r="J1517" s="63" t="str">
        <f t="shared" si="48"/>
        <v/>
      </c>
    </row>
    <row r="1518" spans="9:10">
      <c r="I1518" s="62" t="str">
        <f t="shared" si="47"/>
        <v/>
      </c>
      <c r="J1518" s="63" t="str">
        <f t="shared" si="48"/>
        <v/>
      </c>
    </row>
    <row r="1519" spans="9:10">
      <c r="I1519" s="62" t="str">
        <f t="shared" si="47"/>
        <v/>
      </c>
      <c r="J1519" s="63" t="str">
        <f t="shared" si="48"/>
        <v/>
      </c>
    </row>
    <row r="1520" spans="9:10">
      <c r="I1520" s="62" t="str">
        <f t="shared" si="47"/>
        <v/>
      </c>
      <c r="J1520" s="63" t="str">
        <f t="shared" si="48"/>
        <v/>
      </c>
    </row>
    <row r="1521" spans="9:10">
      <c r="I1521" s="62" t="str">
        <f t="shared" si="47"/>
        <v/>
      </c>
      <c r="J1521" s="63" t="str">
        <f t="shared" si="48"/>
        <v/>
      </c>
    </row>
    <row r="1522" spans="9:10">
      <c r="I1522" s="62" t="str">
        <f t="shared" si="47"/>
        <v/>
      </c>
      <c r="J1522" s="63" t="str">
        <f t="shared" si="48"/>
        <v/>
      </c>
    </row>
    <row r="1523" spans="9:10">
      <c r="I1523" s="62" t="str">
        <f t="shared" si="47"/>
        <v/>
      </c>
      <c r="J1523" s="63" t="str">
        <f t="shared" si="48"/>
        <v/>
      </c>
    </row>
    <row r="1524" spans="9:10">
      <c r="I1524" s="62" t="str">
        <f t="shared" si="47"/>
        <v/>
      </c>
      <c r="J1524" s="63" t="str">
        <f t="shared" si="48"/>
        <v/>
      </c>
    </row>
    <row r="1525" spans="9:10">
      <c r="I1525" s="62" t="str">
        <f t="shared" si="47"/>
        <v/>
      </c>
      <c r="J1525" s="63" t="str">
        <f t="shared" si="48"/>
        <v/>
      </c>
    </row>
    <row r="1526" spans="9:10">
      <c r="I1526" s="62" t="str">
        <f t="shared" si="47"/>
        <v/>
      </c>
      <c r="J1526" s="63" t="str">
        <f t="shared" si="48"/>
        <v/>
      </c>
    </row>
    <row r="1527" spans="9:10">
      <c r="I1527" s="62" t="str">
        <f t="shared" si="47"/>
        <v/>
      </c>
      <c r="J1527" s="63" t="str">
        <f t="shared" si="48"/>
        <v/>
      </c>
    </row>
    <row r="1528" spans="9:10">
      <c r="I1528" s="62" t="str">
        <f t="shared" si="47"/>
        <v/>
      </c>
      <c r="J1528" s="63" t="str">
        <f t="shared" si="48"/>
        <v/>
      </c>
    </row>
    <row r="1529" spans="9:10">
      <c r="I1529" s="62" t="str">
        <f t="shared" si="47"/>
        <v/>
      </c>
      <c r="J1529" s="63" t="str">
        <f t="shared" si="48"/>
        <v/>
      </c>
    </row>
    <row r="1530" spans="9:10">
      <c r="I1530" s="62" t="str">
        <f t="shared" si="47"/>
        <v/>
      </c>
      <c r="J1530" s="63" t="str">
        <f t="shared" si="48"/>
        <v/>
      </c>
    </row>
    <row r="1531" spans="9:10">
      <c r="I1531" s="62" t="str">
        <f t="shared" si="47"/>
        <v/>
      </c>
      <c r="J1531" s="63" t="str">
        <f t="shared" si="48"/>
        <v/>
      </c>
    </row>
    <row r="1532" spans="9:10">
      <c r="I1532" s="62" t="str">
        <f t="shared" si="47"/>
        <v/>
      </c>
      <c r="J1532" s="63" t="str">
        <f t="shared" si="48"/>
        <v/>
      </c>
    </row>
    <row r="1533" spans="9:10">
      <c r="I1533" s="62" t="str">
        <f t="shared" si="47"/>
        <v/>
      </c>
      <c r="J1533" s="63" t="str">
        <f t="shared" si="48"/>
        <v/>
      </c>
    </row>
    <row r="1534" spans="9:10">
      <c r="I1534" s="62" t="str">
        <f t="shared" si="47"/>
        <v/>
      </c>
      <c r="J1534" s="63" t="str">
        <f t="shared" si="48"/>
        <v/>
      </c>
    </row>
    <row r="1535" spans="9:10">
      <c r="I1535" s="62" t="str">
        <f t="shared" si="47"/>
        <v/>
      </c>
      <c r="J1535" s="63" t="str">
        <f t="shared" si="48"/>
        <v/>
      </c>
    </row>
    <row r="1536" spans="9:10">
      <c r="I1536" s="62" t="str">
        <f t="shared" si="47"/>
        <v/>
      </c>
      <c r="J1536" s="63" t="str">
        <f t="shared" si="48"/>
        <v/>
      </c>
    </row>
    <row r="1537" spans="9:10">
      <c r="I1537" s="62" t="str">
        <f t="shared" si="47"/>
        <v/>
      </c>
      <c r="J1537" s="63" t="str">
        <f t="shared" si="48"/>
        <v/>
      </c>
    </row>
    <row r="1538" spans="9:10">
      <c r="I1538" s="62" t="str">
        <f t="shared" si="47"/>
        <v/>
      </c>
      <c r="J1538" s="63" t="str">
        <f t="shared" si="48"/>
        <v/>
      </c>
    </row>
    <row r="1539" spans="9:10">
      <c r="I1539" s="62" t="str">
        <f t="shared" si="47"/>
        <v/>
      </c>
      <c r="J1539" s="63" t="str">
        <f t="shared" si="48"/>
        <v/>
      </c>
    </row>
    <row r="1540" spans="9:10">
      <c r="I1540" s="62" t="str">
        <f t="shared" si="47"/>
        <v/>
      </c>
      <c r="J1540" s="63" t="str">
        <f t="shared" si="48"/>
        <v/>
      </c>
    </row>
    <row r="1541" spans="9:10">
      <c r="I1541" s="62" t="str">
        <f t="shared" si="47"/>
        <v/>
      </c>
      <c r="J1541" s="63" t="str">
        <f t="shared" si="48"/>
        <v/>
      </c>
    </row>
    <row r="1542" spans="9:10">
      <c r="I1542" s="62" t="str">
        <f t="shared" si="47"/>
        <v/>
      </c>
      <c r="J1542" s="63" t="str">
        <f t="shared" si="48"/>
        <v/>
      </c>
    </row>
    <row r="1543" spans="9:10">
      <c r="I1543" s="62" t="str">
        <f t="shared" si="47"/>
        <v/>
      </c>
      <c r="J1543" s="63" t="str">
        <f t="shared" si="48"/>
        <v/>
      </c>
    </row>
    <row r="1544" spans="9:10">
      <c r="I1544" s="62" t="str">
        <f t="shared" si="47"/>
        <v/>
      </c>
      <c r="J1544" s="63" t="str">
        <f t="shared" si="48"/>
        <v/>
      </c>
    </row>
    <row r="1545" spans="9:10">
      <c r="I1545" s="62" t="str">
        <f t="shared" si="47"/>
        <v/>
      </c>
      <c r="J1545" s="63" t="str">
        <f t="shared" si="48"/>
        <v/>
      </c>
    </row>
    <row r="1546" spans="9:10">
      <c r="I1546" s="62" t="str">
        <f t="shared" si="47"/>
        <v/>
      </c>
      <c r="J1546" s="63" t="str">
        <f t="shared" si="48"/>
        <v/>
      </c>
    </row>
    <row r="1547" spans="9:10">
      <c r="I1547" s="62" t="str">
        <f t="shared" si="47"/>
        <v/>
      </c>
      <c r="J1547" s="63" t="str">
        <f t="shared" si="48"/>
        <v/>
      </c>
    </row>
    <row r="1548" spans="9:10">
      <c r="I1548" s="62" t="str">
        <f t="shared" ref="I1548:I1611" si="49">IF(B1548="","",IF(B1548="Total",I1546,IF(B1546="Total",I1546, IF(ISNUMBER(A1548),A1548,I1547))))</f>
        <v/>
      </c>
      <c r="J1548" s="63" t="str">
        <f t="shared" si="48"/>
        <v/>
      </c>
    </row>
    <row r="1549" spans="9:10">
      <c r="I1549" s="62" t="str">
        <f t="shared" si="49"/>
        <v/>
      </c>
      <c r="J1549" s="63" t="str">
        <f t="shared" si="48"/>
        <v/>
      </c>
    </row>
    <row r="1550" spans="9:10">
      <c r="I1550" s="62" t="str">
        <f t="shared" si="49"/>
        <v/>
      </c>
      <c r="J1550" s="63" t="str">
        <f t="shared" si="48"/>
        <v/>
      </c>
    </row>
    <row r="1551" spans="9:10">
      <c r="I1551" s="62" t="str">
        <f t="shared" si="49"/>
        <v/>
      </c>
      <c r="J1551" s="63" t="str">
        <f t="shared" ref="J1551:J1614" si="50">IF(B1551="","",IF(B1551="Total",J1549,IF(B1549="Total",J1549,IF(A1551="",J1550,IF(ISNUMBER(A1550),B1550,IF(ISNUMBER(A1551),B1551,J1550))))))</f>
        <v/>
      </c>
    </row>
    <row r="1552" spans="9:10">
      <c r="I1552" s="62" t="str">
        <f t="shared" si="49"/>
        <v/>
      </c>
      <c r="J1552" s="63" t="str">
        <f t="shared" si="50"/>
        <v/>
      </c>
    </row>
    <row r="1553" spans="9:10">
      <c r="I1553" s="62" t="str">
        <f t="shared" si="49"/>
        <v/>
      </c>
      <c r="J1553" s="63" t="str">
        <f t="shared" si="50"/>
        <v/>
      </c>
    </row>
    <row r="1554" spans="9:10">
      <c r="I1554" s="62" t="str">
        <f t="shared" si="49"/>
        <v/>
      </c>
      <c r="J1554" s="63" t="str">
        <f t="shared" si="50"/>
        <v/>
      </c>
    </row>
    <row r="1555" spans="9:10">
      <c r="I1555" s="62" t="str">
        <f t="shared" si="49"/>
        <v/>
      </c>
      <c r="J1555" s="63" t="str">
        <f t="shared" si="50"/>
        <v/>
      </c>
    </row>
    <row r="1556" spans="9:10">
      <c r="I1556" s="62" t="str">
        <f t="shared" si="49"/>
        <v/>
      </c>
      <c r="J1556" s="63" t="str">
        <f t="shared" si="50"/>
        <v/>
      </c>
    </row>
    <row r="1557" spans="9:10">
      <c r="I1557" s="62" t="str">
        <f t="shared" si="49"/>
        <v/>
      </c>
      <c r="J1557" s="63" t="str">
        <f t="shared" si="50"/>
        <v/>
      </c>
    </row>
    <row r="1558" spans="9:10">
      <c r="I1558" s="62" t="str">
        <f t="shared" si="49"/>
        <v/>
      </c>
      <c r="J1558" s="63" t="str">
        <f t="shared" si="50"/>
        <v/>
      </c>
    </row>
    <row r="1559" spans="9:10">
      <c r="I1559" s="62" t="str">
        <f t="shared" si="49"/>
        <v/>
      </c>
      <c r="J1559" s="63" t="str">
        <f t="shared" si="50"/>
        <v/>
      </c>
    </row>
    <row r="1560" spans="9:10">
      <c r="I1560" s="62" t="str">
        <f t="shared" si="49"/>
        <v/>
      </c>
      <c r="J1560" s="63" t="str">
        <f t="shared" si="50"/>
        <v/>
      </c>
    </row>
    <row r="1561" spans="9:10">
      <c r="I1561" s="62" t="str">
        <f t="shared" si="49"/>
        <v/>
      </c>
      <c r="J1561" s="63" t="str">
        <f t="shared" si="50"/>
        <v/>
      </c>
    </row>
    <row r="1562" spans="9:10">
      <c r="I1562" s="62" t="str">
        <f t="shared" si="49"/>
        <v/>
      </c>
      <c r="J1562" s="63" t="str">
        <f t="shared" si="50"/>
        <v/>
      </c>
    </row>
    <row r="1563" spans="9:10">
      <c r="I1563" s="62" t="str">
        <f t="shared" si="49"/>
        <v/>
      </c>
      <c r="J1563" s="63" t="str">
        <f t="shared" si="50"/>
        <v/>
      </c>
    </row>
    <row r="1564" spans="9:10">
      <c r="I1564" s="62" t="str">
        <f t="shared" si="49"/>
        <v/>
      </c>
      <c r="J1564" s="63" t="str">
        <f t="shared" si="50"/>
        <v/>
      </c>
    </row>
    <row r="1565" spans="9:10">
      <c r="I1565" s="62" t="str">
        <f t="shared" si="49"/>
        <v/>
      </c>
      <c r="J1565" s="63" t="str">
        <f t="shared" si="50"/>
        <v/>
      </c>
    </row>
    <row r="1566" spans="9:10">
      <c r="I1566" s="62" t="str">
        <f t="shared" si="49"/>
        <v/>
      </c>
      <c r="J1566" s="63" t="str">
        <f t="shared" si="50"/>
        <v/>
      </c>
    </row>
    <row r="1567" spans="9:10">
      <c r="I1567" s="62" t="str">
        <f t="shared" si="49"/>
        <v/>
      </c>
      <c r="J1567" s="63" t="str">
        <f t="shared" si="50"/>
        <v/>
      </c>
    </row>
    <row r="1568" spans="9:10">
      <c r="I1568" s="62" t="str">
        <f t="shared" si="49"/>
        <v/>
      </c>
      <c r="J1568" s="63" t="str">
        <f t="shared" si="50"/>
        <v/>
      </c>
    </row>
    <row r="1569" spans="9:10">
      <c r="I1569" s="62" t="str">
        <f t="shared" si="49"/>
        <v/>
      </c>
      <c r="J1569" s="63" t="str">
        <f t="shared" si="50"/>
        <v/>
      </c>
    </row>
    <row r="1570" spans="9:10">
      <c r="I1570" s="62" t="str">
        <f t="shared" si="49"/>
        <v/>
      </c>
      <c r="J1570" s="63" t="str">
        <f t="shared" si="50"/>
        <v/>
      </c>
    </row>
    <row r="1571" spans="9:10">
      <c r="I1571" s="62" t="str">
        <f t="shared" si="49"/>
        <v/>
      </c>
      <c r="J1571" s="63" t="str">
        <f t="shared" si="50"/>
        <v/>
      </c>
    </row>
    <row r="1572" spans="9:10">
      <c r="I1572" s="62" t="str">
        <f t="shared" si="49"/>
        <v/>
      </c>
      <c r="J1572" s="63" t="str">
        <f t="shared" si="50"/>
        <v/>
      </c>
    </row>
    <row r="1573" spans="9:10">
      <c r="I1573" s="62" t="str">
        <f t="shared" si="49"/>
        <v/>
      </c>
      <c r="J1573" s="63" t="str">
        <f t="shared" si="50"/>
        <v/>
      </c>
    </row>
    <row r="1574" spans="9:10">
      <c r="I1574" s="62" t="str">
        <f t="shared" si="49"/>
        <v/>
      </c>
      <c r="J1574" s="63" t="str">
        <f t="shared" si="50"/>
        <v/>
      </c>
    </row>
    <row r="1575" spans="9:10">
      <c r="I1575" s="62" t="str">
        <f t="shared" si="49"/>
        <v/>
      </c>
      <c r="J1575" s="63" t="str">
        <f t="shared" si="50"/>
        <v/>
      </c>
    </row>
    <row r="1576" spans="9:10">
      <c r="I1576" s="62" t="str">
        <f t="shared" si="49"/>
        <v/>
      </c>
      <c r="J1576" s="63" t="str">
        <f t="shared" si="50"/>
        <v/>
      </c>
    </row>
    <row r="1577" spans="9:10">
      <c r="I1577" s="62" t="str">
        <f t="shared" si="49"/>
        <v/>
      </c>
      <c r="J1577" s="63" t="str">
        <f t="shared" si="50"/>
        <v/>
      </c>
    </row>
    <row r="1578" spans="9:10">
      <c r="I1578" s="62" t="str">
        <f t="shared" si="49"/>
        <v/>
      </c>
      <c r="J1578" s="63" t="str">
        <f t="shared" si="50"/>
        <v/>
      </c>
    </row>
    <row r="1579" spans="9:10">
      <c r="I1579" s="62" t="str">
        <f t="shared" si="49"/>
        <v/>
      </c>
      <c r="J1579" s="63" t="str">
        <f t="shared" si="50"/>
        <v/>
      </c>
    </row>
    <row r="1580" spans="9:10">
      <c r="I1580" s="62" t="str">
        <f t="shared" si="49"/>
        <v/>
      </c>
      <c r="J1580" s="63" t="str">
        <f t="shared" si="50"/>
        <v/>
      </c>
    </row>
    <row r="1581" spans="9:10">
      <c r="I1581" s="62" t="str">
        <f t="shared" si="49"/>
        <v/>
      </c>
      <c r="J1581" s="63" t="str">
        <f t="shared" si="50"/>
        <v/>
      </c>
    </row>
    <row r="1582" spans="9:10">
      <c r="I1582" s="62" t="str">
        <f t="shared" si="49"/>
        <v/>
      </c>
      <c r="J1582" s="63" t="str">
        <f t="shared" si="50"/>
        <v/>
      </c>
    </row>
    <row r="1583" spans="9:10">
      <c r="I1583" s="62" t="str">
        <f t="shared" si="49"/>
        <v/>
      </c>
      <c r="J1583" s="63" t="str">
        <f t="shared" si="50"/>
        <v/>
      </c>
    </row>
    <row r="1584" spans="9:10">
      <c r="I1584" s="62" t="str">
        <f t="shared" si="49"/>
        <v/>
      </c>
      <c r="J1584" s="63" t="str">
        <f t="shared" si="50"/>
        <v/>
      </c>
    </row>
    <row r="1585" spans="9:10">
      <c r="I1585" s="62" t="str">
        <f t="shared" si="49"/>
        <v/>
      </c>
      <c r="J1585" s="63" t="str">
        <f t="shared" si="50"/>
        <v/>
      </c>
    </row>
    <row r="1586" spans="9:10">
      <c r="I1586" s="62" t="str">
        <f t="shared" si="49"/>
        <v/>
      </c>
      <c r="J1586" s="63" t="str">
        <f t="shared" si="50"/>
        <v/>
      </c>
    </row>
    <row r="1587" spans="9:10">
      <c r="I1587" s="62" t="str">
        <f t="shared" si="49"/>
        <v/>
      </c>
      <c r="J1587" s="63" t="str">
        <f t="shared" si="50"/>
        <v/>
      </c>
    </row>
    <row r="1588" spans="9:10">
      <c r="I1588" s="62" t="str">
        <f t="shared" si="49"/>
        <v/>
      </c>
      <c r="J1588" s="63" t="str">
        <f t="shared" si="50"/>
        <v/>
      </c>
    </row>
    <row r="1589" spans="9:10">
      <c r="I1589" s="62" t="str">
        <f t="shared" si="49"/>
        <v/>
      </c>
      <c r="J1589" s="63" t="str">
        <f t="shared" si="50"/>
        <v/>
      </c>
    </row>
    <row r="1590" spans="9:10">
      <c r="I1590" s="62" t="str">
        <f t="shared" si="49"/>
        <v/>
      </c>
      <c r="J1590" s="63" t="str">
        <f t="shared" si="50"/>
        <v/>
      </c>
    </row>
    <row r="1591" spans="9:10">
      <c r="I1591" s="62" t="str">
        <f t="shared" si="49"/>
        <v/>
      </c>
      <c r="J1591" s="63" t="str">
        <f t="shared" si="50"/>
        <v/>
      </c>
    </row>
    <row r="1592" spans="9:10">
      <c r="I1592" s="62" t="str">
        <f t="shared" si="49"/>
        <v/>
      </c>
      <c r="J1592" s="63" t="str">
        <f t="shared" si="50"/>
        <v/>
      </c>
    </row>
    <row r="1593" spans="9:10">
      <c r="I1593" s="62" t="str">
        <f t="shared" si="49"/>
        <v/>
      </c>
      <c r="J1593" s="63" t="str">
        <f t="shared" si="50"/>
        <v/>
      </c>
    </row>
    <row r="1594" spans="9:10">
      <c r="I1594" s="62" t="str">
        <f t="shared" si="49"/>
        <v/>
      </c>
      <c r="J1594" s="63" t="str">
        <f t="shared" si="50"/>
        <v/>
      </c>
    </row>
    <row r="1595" spans="9:10">
      <c r="I1595" s="62" t="str">
        <f t="shared" si="49"/>
        <v/>
      </c>
      <c r="J1595" s="63" t="str">
        <f t="shared" si="50"/>
        <v/>
      </c>
    </row>
    <row r="1596" spans="9:10">
      <c r="I1596" s="62" t="str">
        <f t="shared" si="49"/>
        <v/>
      </c>
      <c r="J1596" s="63" t="str">
        <f t="shared" si="50"/>
        <v/>
      </c>
    </row>
    <row r="1597" spans="9:10">
      <c r="I1597" s="62" t="str">
        <f t="shared" si="49"/>
        <v/>
      </c>
      <c r="J1597" s="63" t="str">
        <f t="shared" si="50"/>
        <v/>
      </c>
    </row>
    <row r="1598" spans="9:10">
      <c r="I1598" s="62" t="str">
        <f t="shared" si="49"/>
        <v/>
      </c>
      <c r="J1598" s="63" t="str">
        <f t="shared" si="50"/>
        <v/>
      </c>
    </row>
    <row r="1599" spans="9:10">
      <c r="I1599" s="62" t="str">
        <f t="shared" si="49"/>
        <v/>
      </c>
      <c r="J1599" s="63" t="str">
        <f t="shared" si="50"/>
        <v/>
      </c>
    </row>
    <row r="1600" spans="9:10">
      <c r="I1600" s="62" t="str">
        <f t="shared" si="49"/>
        <v/>
      </c>
      <c r="J1600" s="63" t="str">
        <f t="shared" si="50"/>
        <v/>
      </c>
    </row>
    <row r="1601" spans="9:10">
      <c r="I1601" s="62" t="str">
        <f t="shared" si="49"/>
        <v/>
      </c>
      <c r="J1601" s="63" t="str">
        <f t="shared" si="50"/>
        <v/>
      </c>
    </row>
    <row r="1602" spans="9:10">
      <c r="I1602" s="62" t="str">
        <f t="shared" si="49"/>
        <v/>
      </c>
      <c r="J1602" s="63" t="str">
        <f t="shared" si="50"/>
        <v/>
      </c>
    </row>
    <row r="1603" spans="9:10">
      <c r="I1603" s="62" t="str">
        <f t="shared" si="49"/>
        <v/>
      </c>
      <c r="J1603" s="63" t="str">
        <f t="shared" si="50"/>
        <v/>
      </c>
    </row>
    <row r="1604" spans="9:10">
      <c r="I1604" s="62" t="str">
        <f t="shared" si="49"/>
        <v/>
      </c>
      <c r="J1604" s="63" t="str">
        <f t="shared" si="50"/>
        <v/>
      </c>
    </row>
    <row r="1605" spans="9:10">
      <c r="I1605" s="62" t="str">
        <f t="shared" si="49"/>
        <v/>
      </c>
      <c r="J1605" s="63" t="str">
        <f t="shared" si="50"/>
        <v/>
      </c>
    </row>
    <row r="1606" spans="9:10">
      <c r="I1606" s="62" t="str">
        <f t="shared" si="49"/>
        <v/>
      </c>
      <c r="J1606" s="63" t="str">
        <f t="shared" si="50"/>
        <v/>
      </c>
    </row>
    <row r="1607" spans="9:10">
      <c r="I1607" s="62" t="str">
        <f t="shared" si="49"/>
        <v/>
      </c>
      <c r="J1607" s="63" t="str">
        <f t="shared" si="50"/>
        <v/>
      </c>
    </row>
    <row r="1608" spans="9:10">
      <c r="I1608" s="62" t="str">
        <f t="shared" si="49"/>
        <v/>
      </c>
      <c r="J1608" s="63" t="str">
        <f t="shared" si="50"/>
        <v/>
      </c>
    </row>
    <row r="1609" spans="9:10">
      <c r="I1609" s="62" t="str">
        <f t="shared" si="49"/>
        <v/>
      </c>
      <c r="J1609" s="63" t="str">
        <f t="shared" si="50"/>
        <v/>
      </c>
    </row>
    <row r="1610" spans="9:10">
      <c r="I1610" s="62" t="str">
        <f t="shared" si="49"/>
        <v/>
      </c>
      <c r="J1610" s="63" t="str">
        <f t="shared" si="50"/>
        <v/>
      </c>
    </row>
    <row r="1611" spans="9:10">
      <c r="I1611" s="62" t="str">
        <f t="shared" si="49"/>
        <v/>
      </c>
      <c r="J1611" s="63" t="str">
        <f t="shared" si="50"/>
        <v/>
      </c>
    </row>
    <row r="1612" spans="9:10">
      <c r="I1612" s="62" t="str">
        <f t="shared" ref="I1612:I1675" si="51">IF(B1612="","",IF(B1612="Total",I1610,IF(B1610="Total",I1610, IF(ISNUMBER(A1612),A1612,I1611))))</f>
        <v/>
      </c>
      <c r="J1612" s="63" t="str">
        <f t="shared" si="50"/>
        <v/>
      </c>
    </row>
    <row r="1613" spans="9:10">
      <c r="I1613" s="62" t="str">
        <f t="shared" si="51"/>
        <v/>
      </c>
      <c r="J1613" s="63" t="str">
        <f t="shared" si="50"/>
        <v/>
      </c>
    </row>
    <row r="1614" spans="9:10">
      <c r="I1614" s="62" t="str">
        <f t="shared" si="51"/>
        <v/>
      </c>
      <c r="J1614" s="63" t="str">
        <f t="shared" si="50"/>
        <v/>
      </c>
    </row>
    <row r="1615" spans="9:10">
      <c r="I1615" s="62" t="str">
        <f t="shared" si="51"/>
        <v/>
      </c>
      <c r="J1615" s="63" t="str">
        <f t="shared" ref="J1615:J1678" si="52">IF(B1615="","",IF(B1615="Total",J1613,IF(B1613="Total",J1613,IF(A1615="",J1614,IF(ISNUMBER(A1614),B1614,IF(ISNUMBER(A1615),B1615,J1614))))))</f>
        <v/>
      </c>
    </row>
    <row r="1616" spans="9:10">
      <c r="I1616" s="62" t="str">
        <f t="shared" si="51"/>
        <v/>
      </c>
      <c r="J1616" s="63" t="str">
        <f t="shared" si="52"/>
        <v/>
      </c>
    </row>
    <row r="1617" spans="9:10">
      <c r="I1617" s="62" t="str">
        <f t="shared" si="51"/>
        <v/>
      </c>
      <c r="J1617" s="63" t="str">
        <f t="shared" si="52"/>
        <v/>
      </c>
    </row>
    <row r="1618" spans="9:10">
      <c r="I1618" s="62" t="str">
        <f t="shared" si="51"/>
        <v/>
      </c>
      <c r="J1618" s="63" t="str">
        <f t="shared" si="52"/>
        <v/>
      </c>
    </row>
    <row r="1619" spans="9:10">
      <c r="I1619" s="62" t="str">
        <f t="shared" si="51"/>
        <v/>
      </c>
      <c r="J1619" s="63" t="str">
        <f t="shared" si="52"/>
        <v/>
      </c>
    </row>
    <row r="1620" spans="9:10">
      <c r="I1620" s="62" t="str">
        <f t="shared" si="51"/>
        <v/>
      </c>
      <c r="J1620" s="63" t="str">
        <f t="shared" si="52"/>
        <v/>
      </c>
    </row>
    <row r="1621" spans="9:10">
      <c r="I1621" s="62" t="str">
        <f t="shared" si="51"/>
        <v/>
      </c>
      <c r="J1621" s="63" t="str">
        <f t="shared" si="52"/>
        <v/>
      </c>
    </row>
    <row r="1622" spans="9:10">
      <c r="I1622" s="62" t="str">
        <f t="shared" si="51"/>
        <v/>
      </c>
      <c r="J1622" s="63" t="str">
        <f t="shared" si="52"/>
        <v/>
      </c>
    </row>
    <row r="1623" spans="9:10">
      <c r="I1623" s="62" t="str">
        <f t="shared" si="51"/>
        <v/>
      </c>
      <c r="J1623" s="63" t="str">
        <f t="shared" si="52"/>
        <v/>
      </c>
    </row>
    <row r="1624" spans="9:10">
      <c r="I1624" s="62" t="str">
        <f t="shared" si="51"/>
        <v/>
      </c>
      <c r="J1624" s="63" t="str">
        <f t="shared" si="52"/>
        <v/>
      </c>
    </row>
    <row r="1625" spans="9:10">
      <c r="I1625" s="62" t="str">
        <f t="shared" si="51"/>
        <v/>
      </c>
      <c r="J1625" s="63" t="str">
        <f t="shared" si="52"/>
        <v/>
      </c>
    </row>
    <row r="1626" spans="9:10">
      <c r="I1626" s="62" t="str">
        <f t="shared" si="51"/>
        <v/>
      </c>
      <c r="J1626" s="63" t="str">
        <f t="shared" si="52"/>
        <v/>
      </c>
    </row>
    <row r="1627" spans="9:10">
      <c r="I1627" s="62" t="str">
        <f t="shared" si="51"/>
        <v/>
      </c>
      <c r="J1627" s="63" t="str">
        <f t="shared" si="52"/>
        <v/>
      </c>
    </row>
    <row r="1628" spans="9:10">
      <c r="I1628" s="62" t="str">
        <f t="shared" si="51"/>
        <v/>
      </c>
      <c r="J1628" s="63" t="str">
        <f t="shared" si="52"/>
        <v/>
      </c>
    </row>
    <row r="1629" spans="9:10">
      <c r="I1629" s="62" t="str">
        <f t="shared" si="51"/>
        <v/>
      </c>
      <c r="J1629" s="63" t="str">
        <f t="shared" si="52"/>
        <v/>
      </c>
    </row>
    <row r="1630" spans="9:10">
      <c r="I1630" s="62" t="str">
        <f t="shared" si="51"/>
        <v/>
      </c>
      <c r="J1630" s="63" t="str">
        <f t="shared" si="52"/>
        <v/>
      </c>
    </row>
    <row r="1631" spans="9:10">
      <c r="I1631" s="62" t="str">
        <f t="shared" si="51"/>
        <v/>
      </c>
      <c r="J1631" s="63" t="str">
        <f t="shared" si="52"/>
        <v/>
      </c>
    </row>
    <row r="1632" spans="9:10">
      <c r="I1632" s="62" t="str">
        <f t="shared" si="51"/>
        <v/>
      </c>
      <c r="J1632" s="63" t="str">
        <f t="shared" si="52"/>
        <v/>
      </c>
    </row>
    <row r="1633" spans="9:10">
      <c r="I1633" s="62" t="str">
        <f t="shared" si="51"/>
        <v/>
      </c>
      <c r="J1633" s="63" t="str">
        <f t="shared" si="52"/>
        <v/>
      </c>
    </row>
    <row r="1634" spans="9:10">
      <c r="I1634" s="62" t="str">
        <f t="shared" si="51"/>
        <v/>
      </c>
      <c r="J1634" s="63" t="str">
        <f t="shared" si="52"/>
        <v/>
      </c>
    </row>
    <row r="1635" spans="9:10">
      <c r="I1635" s="62" t="str">
        <f t="shared" si="51"/>
        <v/>
      </c>
      <c r="J1635" s="63" t="str">
        <f t="shared" si="52"/>
        <v/>
      </c>
    </row>
    <row r="1636" spans="9:10">
      <c r="I1636" s="62" t="str">
        <f t="shared" si="51"/>
        <v/>
      </c>
      <c r="J1636" s="63" t="str">
        <f t="shared" si="52"/>
        <v/>
      </c>
    </row>
    <row r="1637" spans="9:10">
      <c r="I1637" s="62" t="str">
        <f t="shared" si="51"/>
        <v/>
      </c>
      <c r="J1637" s="63" t="str">
        <f t="shared" si="52"/>
        <v/>
      </c>
    </row>
    <row r="1638" spans="9:10">
      <c r="I1638" s="62" t="str">
        <f t="shared" si="51"/>
        <v/>
      </c>
      <c r="J1638" s="63" t="str">
        <f t="shared" si="52"/>
        <v/>
      </c>
    </row>
    <row r="1639" spans="9:10">
      <c r="I1639" s="62" t="str">
        <f t="shared" si="51"/>
        <v/>
      </c>
      <c r="J1639" s="63" t="str">
        <f t="shared" si="52"/>
        <v/>
      </c>
    </row>
    <row r="1640" spans="9:10">
      <c r="I1640" s="62" t="str">
        <f t="shared" si="51"/>
        <v/>
      </c>
      <c r="J1640" s="63" t="str">
        <f t="shared" si="52"/>
        <v/>
      </c>
    </row>
    <row r="1641" spans="9:10">
      <c r="I1641" s="62" t="str">
        <f t="shared" si="51"/>
        <v/>
      </c>
      <c r="J1641" s="63" t="str">
        <f t="shared" si="52"/>
        <v/>
      </c>
    </row>
    <row r="1642" spans="9:10">
      <c r="I1642" s="62" t="str">
        <f t="shared" si="51"/>
        <v/>
      </c>
      <c r="J1642" s="63" t="str">
        <f t="shared" si="52"/>
        <v/>
      </c>
    </row>
    <row r="1643" spans="9:10">
      <c r="I1643" s="62" t="str">
        <f t="shared" si="51"/>
        <v/>
      </c>
      <c r="J1643" s="63" t="str">
        <f t="shared" si="52"/>
        <v/>
      </c>
    </row>
    <row r="1644" spans="9:10">
      <c r="I1644" s="62" t="str">
        <f t="shared" si="51"/>
        <v/>
      </c>
      <c r="J1644" s="63" t="str">
        <f t="shared" si="52"/>
        <v/>
      </c>
    </row>
    <row r="1645" spans="9:10">
      <c r="I1645" s="62" t="str">
        <f t="shared" si="51"/>
        <v/>
      </c>
      <c r="J1645" s="63" t="str">
        <f t="shared" si="52"/>
        <v/>
      </c>
    </row>
    <row r="1646" spans="9:10">
      <c r="I1646" s="62" t="str">
        <f t="shared" si="51"/>
        <v/>
      </c>
      <c r="J1646" s="63" t="str">
        <f t="shared" si="52"/>
        <v/>
      </c>
    </row>
    <row r="1647" spans="9:10">
      <c r="I1647" s="62" t="str">
        <f t="shared" si="51"/>
        <v/>
      </c>
      <c r="J1647" s="63" t="str">
        <f t="shared" si="52"/>
        <v/>
      </c>
    </row>
    <row r="1648" spans="9:10">
      <c r="I1648" s="62" t="str">
        <f t="shared" si="51"/>
        <v/>
      </c>
      <c r="J1648" s="63" t="str">
        <f t="shared" si="52"/>
        <v/>
      </c>
    </row>
    <row r="1649" spans="9:10">
      <c r="I1649" s="62" t="str">
        <f t="shared" si="51"/>
        <v/>
      </c>
      <c r="J1649" s="63" t="str">
        <f t="shared" si="52"/>
        <v/>
      </c>
    </row>
    <row r="1650" spans="9:10">
      <c r="I1650" s="62" t="str">
        <f t="shared" si="51"/>
        <v/>
      </c>
      <c r="J1650" s="63" t="str">
        <f t="shared" si="52"/>
        <v/>
      </c>
    </row>
    <row r="1651" spans="9:10">
      <c r="I1651" s="62" t="str">
        <f t="shared" si="51"/>
        <v/>
      </c>
      <c r="J1651" s="63" t="str">
        <f t="shared" si="52"/>
        <v/>
      </c>
    </row>
    <row r="1652" spans="9:10">
      <c r="I1652" s="62" t="str">
        <f t="shared" si="51"/>
        <v/>
      </c>
      <c r="J1652" s="63" t="str">
        <f t="shared" si="52"/>
        <v/>
      </c>
    </row>
    <row r="1653" spans="9:10">
      <c r="I1653" s="62" t="str">
        <f t="shared" si="51"/>
        <v/>
      </c>
      <c r="J1653" s="63" t="str">
        <f t="shared" si="52"/>
        <v/>
      </c>
    </row>
    <row r="1654" spans="9:10">
      <c r="I1654" s="62" t="str">
        <f t="shared" si="51"/>
        <v/>
      </c>
      <c r="J1654" s="63" t="str">
        <f t="shared" si="52"/>
        <v/>
      </c>
    </row>
    <row r="1655" spans="9:10">
      <c r="I1655" s="62" t="str">
        <f t="shared" si="51"/>
        <v/>
      </c>
      <c r="J1655" s="63" t="str">
        <f t="shared" si="52"/>
        <v/>
      </c>
    </row>
    <row r="1656" spans="9:10">
      <c r="I1656" s="62" t="str">
        <f t="shared" si="51"/>
        <v/>
      </c>
      <c r="J1656" s="63" t="str">
        <f t="shared" si="52"/>
        <v/>
      </c>
    </row>
    <row r="1657" spans="9:10">
      <c r="I1657" s="62" t="str">
        <f t="shared" si="51"/>
        <v/>
      </c>
      <c r="J1657" s="63" t="str">
        <f t="shared" si="52"/>
        <v/>
      </c>
    </row>
    <row r="1658" spans="9:10">
      <c r="I1658" s="62" t="str">
        <f t="shared" si="51"/>
        <v/>
      </c>
      <c r="J1658" s="63" t="str">
        <f t="shared" si="52"/>
        <v/>
      </c>
    </row>
    <row r="1659" spans="9:10">
      <c r="I1659" s="62" t="str">
        <f t="shared" si="51"/>
        <v/>
      </c>
      <c r="J1659" s="63" t="str">
        <f t="shared" si="52"/>
        <v/>
      </c>
    </row>
    <row r="1660" spans="9:10">
      <c r="I1660" s="62" t="str">
        <f t="shared" si="51"/>
        <v/>
      </c>
      <c r="J1660" s="63" t="str">
        <f t="shared" si="52"/>
        <v/>
      </c>
    </row>
    <row r="1661" spans="9:10">
      <c r="I1661" s="62" t="str">
        <f t="shared" si="51"/>
        <v/>
      </c>
      <c r="J1661" s="63" t="str">
        <f t="shared" si="52"/>
        <v/>
      </c>
    </row>
    <row r="1662" spans="9:10">
      <c r="I1662" s="62" t="str">
        <f t="shared" si="51"/>
        <v/>
      </c>
      <c r="J1662" s="63" t="str">
        <f t="shared" si="52"/>
        <v/>
      </c>
    </row>
    <row r="1663" spans="9:10">
      <c r="I1663" s="62" t="str">
        <f t="shared" si="51"/>
        <v/>
      </c>
      <c r="J1663" s="63" t="str">
        <f t="shared" si="52"/>
        <v/>
      </c>
    </row>
    <row r="1664" spans="9:10">
      <c r="I1664" s="62" t="str">
        <f t="shared" si="51"/>
        <v/>
      </c>
      <c r="J1664" s="63" t="str">
        <f t="shared" si="52"/>
        <v/>
      </c>
    </row>
    <row r="1665" spans="9:10">
      <c r="I1665" s="62" t="str">
        <f t="shared" si="51"/>
        <v/>
      </c>
      <c r="J1665" s="63" t="str">
        <f t="shared" si="52"/>
        <v/>
      </c>
    </row>
    <row r="1666" spans="9:10">
      <c r="I1666" s="62" t="str">
        <f t="shared" si="51"/>
        <v/>
      </c>
      <c r="J1666" s="63" t="str">
        <f t="shared" si="52"/>
        <v/>
      </c>
    </row>
    <row r="1667" spans="9:10">
      <c r="I1667" s="62" t="str">
        <f t="shared" si="51"/>
        <v/>
      </c>
      <c r="J1667" s="63" t="str">
        <f t="shared" si="52"/>
        <v/>
      </c>
    </row>
    <row r="1668" spans="9:10">
      <c r="I1668" s="62" t="str">
        <f t="shared" si="51"/>
        <v/>
      </c>
      <c r="J1668" s="63" t="str">
        <f t="shared" si="52"/>
        <v/>
      </c>
    </row>
    <row r="1669" spans="9:10">
      <c r="I1669" s="62" t="str">
        <f t="shared" si="51"/>
        <v/>
      </c>
      <c r="J1669" s="63" t="str">
        <f t="shared" si="52"/>
        <v/>
      </c>
    </row>
    <row r="1670" spans="9:10">
      <c r="I1670" s="62" t="str">
        <f t="shared" si="51"/>
        <v/>
      </c>
      <c r="J1670" s="63" t="str">
        <f t="shared" si="52"/>
        <v/>
      </c>
    </row>
    <row r="1671" spans="9:10">
      <c r="I1671" s="62" t="str">
        <f t="shared" si="51"/>
        <v/>
      </c>
      <c r="J1671" s="63" t="str">
        <f t="shared" si="52"/>
        <v/>
      </c>
    </row>
    <row r="1672" spans="9:10">
      <c r="I1672" s="62" t="str">
        <f t="shared" si="51"/>
        <v/>
      </c>
      <c r="J1672" s="63" t="str">
        <f t="shared" si="52"/>
        <v/>
      </c>
    </row>
    <row r="1673" spans="9:10">
      <c r="I1673" s="62" t="str">
        <f t="shared" si="51"/>
        <v/>
      </c>
      <c r="J1673" s="63" t="str">
        <f t="shared" si="52"/>
        <v/>
      </c>
    </row>
    <row r="1674" spans="9:10">
      <c r="I1674" s="62" t="str">
        <f t="shared" si="51"/>
        <v/>
      </c>
      <c r="J1674" s="63" t="str">
        <f t="shared" si="52"/>
        <v/>
      </c>
    </row>
    <row r="1675" spans="9:10">
      <c r="I1675" s="62" t="str">
        <f t="shared" si="51"/>
        <v/>
      </c>
      <c r="J1675" s="63" t="str">
        <f t="shared" si="52"/>
        <v/>
      </c>
    </row>
    <row r="1676" spans="9:10">
      <c r="I1676" s="62" t="str">
        <f t="shared" ref="I1676:I1739" si="53">IF(B1676="","",IF(B1676="Total",I1674,IF(B1674="Total",I1674, IF(ISNUMBER(A1676),A1676,I1675))))</f>
        <v/>
      </c>
      <c r="J1676" s="63" t="str">
        <f t="shared" si="52"/>
        <v/>
      </c>
    </row>
    <row r="1677" spans="9:10">
      <c r="I1677" s="62" t="str">
        <f t="shared" si="53"/>
        <v/>
      </c>
      <c r="J1677" s="63" t="str">
        <f t="shared" si="52"/>
        <v/>
      </c>
    </row>
    <row r="1678" spans="9:10">
      <c r="I1678" s="62" t="str">
        <f t="shared" si="53"/>
        <v/>
      </c>
      <c r="J1678" s="63" t="str">
        <f t="shared" si="52"/>
        <v/>
      </c>
    </row>
    <row r="1679" spans="9:10">
      <c r="I1679" s="62" t="str">
        <f t="shared" si="53"/>
        <v/>
      </c>
      <c r="J1679" s="63" t="str">
        <f t="shared" ref="J1679:J1742" si="54">IF(B1679="","",IF(B1679="Total",J1677,IF(B1677="Total",J1677,IF(A1679="",J1678,IF(ISNUMBER(A1678),B1678,IF(ISNUMBER(A1679),B1679,J1678))))))</f>
        <v/>
      </c>
    </row>
    <row r="1680" spans="9:10">
      <c r="I1680" s="62" t="str">
        <f t="shared" si="53"/>
        <v/>
      </c>
      <c r="J1680" s="63" t="str">
        <f t="shared" si="54"/>
        <v/>
      </c>
    </row>
    <row r="1681" spans="9:10">
      <c r="I1681" s="62" t="str">
        <f t="shared" si="53"/>
        <v/>
      </c>
      <c r="J1681" s="63" t="str">
        <f t="shared" si="54"/>
        <v/>
      </c>
    </row>
    <row r="1682" spans="9:10">
      <c r="I1682" s="62" t="str">
        <f t="shared" si="53"/>
        <v/>
      </c>
      <c r="J1682" s="63" t="str">
        <f t="shared" si="54"/>
        <v/>
      </c>
    </row>
    <row r="1683" spans="9:10">
      <c r="I1683" s="62" t="str">
        <f t="shared" si="53"/>
        <v/>
      </c>
      <c r="J1683" s="63" t="str">
        <f t="shared" si="54"/>
        <v/>
      </c>
    </row>
    <row r="1684" spans="9:10">
      <c r="I1684" s="62" t="str">
        <f t="shared" si="53"/>
        <v/>
      </c>
      <c r="J1684" s="63" t="str">
        <f t="shared" si="54"/>
        <v/>
      </c>
    </row>
    <row r="1685" spans="9:10">
      <c r="I1685" s="62" t="str">
        <f t="shared" si="53"/>
        <v/>
      </c>
      <c r="J1685" s="63" t="str">
        <f t="shared" si="54"/>
        <v/>
      </c>
    </row>
    <row r="1686" spans="9:10">
      <c r="I1686" s="62" t="str">
        <f t="shared" si="53"/>
        <v/>
      </c>
      <c r="J1686" s="63" t="str">
        <f t="shared" si="54"/>
        <v/>
      </c>
    </row>
    <row r="1687" spans="9:10">
      <c r="I1687" s="62" t="str">
        <f t="shared" si="53"/>
        <v/>
      </c>
      <c r="J1687" s="63" t="str">
        <f t="shared" si="54"/>
        <v/>
      </c>
    </row>
    <row r="1688" spans="9:10">
      <c r="I1688" s="62" t="str">
        <f t="shared" si="53"/>
        <v/>
      </c>
      <c r="J1688" s="63" t="str">
        <f t="shared" si="54"/>
        <v/>
      </c>
    </row>
    <row r="1689" spans="9:10">
      <c r="I1689" s="62" t="str">
        <f t="shared" si="53"/>
        <v/>
      </c>
      <c r="J1689" s="63" t="str">
        <f t="shared" si="54"/>
        <v/>
      </c>
    </row>
    <row r="1690" spans="9:10">
      <c r="I1690" s="62" t="str">
        <f t="shared" si="53"/>
        <v/>
      </c>
      <c r="J1690" s="63" t="str">
        <f t="shared" si="54"/>
        <v/>
      </c>
    </row>
    <row r="1691" spans="9:10">
      <c r="I1691" s="62" t="str">
        <f t="shared" si="53"/>
        <v/>
      </c>
      <c r="J1691" s="63" t="str">
        <f t="shared" si="54"/>
        <v/>
      </c>
    </row>
    <row r="1692" spans="9:10">
      <c r="I1692" s="62" t="str">
        <f t="shared" si="53"/>
        <v/>
      </c>
      <c r="J1692" s="63" t="str">
        <f t="shared" si="54"/>
        <v/>
      </c>
    </row>
    <row r="1693" spans="9:10">
      <c r="I1693" s="62" t="str">
        <f t="shared" si="53"/>
        <v/>
      </c>
      <c r="J1693" s="63" t="str">
        <f t="shared" si="54"/>
        <v/>
      </c>
    </row>
    <row r="1694" spans="9:10">
      <c r="I1694" s="62" t="str">
        <f t="shared" si="53"/>
        <v/>
      </c>
      <c r="J1694" s="63" t="str">
        <f t="shared" si="54"/>
        <v/>
      </c>
    </row>
    <row r="1695" spans="9:10">
      <c r="I1695" s="62" t="str">
        <f t="shared" si="53"/>
        <v/>
      </c>
      <c r="J1695" s="63" t="str">
        <f t="shared" si="54"/>
        <v/>
      </c>
    </row>
    <row r="1696" spans="9:10">
      <c r="I1696" s="62" t="str">
        <f t="shared" si="53"/>
        <v/>
      </c>
      <c r="J1696" s="63" t="str">
        <f t="shared" si="54"/>
        <v/>
      </c>
    </row>
    <row r="1697" spans="9:10">
      <c r="I1697" s="62" t="str">
        <f t="shared" si="53"/>
        <v/>
      </c>
      <c r="J1697" s="63" t="str">
        <f t="shared" si="54"/>
        <v/>
      </c>
    </row>
    <row r="1698" spans="9:10">
      <c r="I1698" s="62" t="str">
        <f t="shared" si="53"/>
        <v/>
      </c>
      <c r="J1698" s="63" t="str">
        <f t="shared" si="54"/>
        <v/>
      </c>
    </row>
    <row r="1699" spans="9:10">
      <c r="I1699" s="62" t="str">
        <f t="shared" si="53"/>
        <v/>
      </c>
      <c r="J1699" s="63" t="str">
        <f t="shared" si="54"/>
        <v/>
      </c>
    </row>
    <row r="1700" spans="9:10">
      <c r="I1700" s="62" t="str">
        <f t="shared" si="53"/>
        <v/>
      </c>
      <c r="J1700" s="63" t="str">
        <f t="shared" si="54"/>
        <v/>
      </c>
    </row>
    <row r="1701" spans="9:10">
      <c r="I1701" s="62" t="str">
        <f t="shared" si="53"/>
        <v/>
      </c>
      <c r="J1701" s="63" t="str">
        <f t="shared" si="54"/>
        <v/>
      </c>
    </row>
    <row r="1702" spans="9:10">
      <c r="I1702" s="62" t="str">
        <f t="shared" si="53"/>
        <v/>
      </c>
      <c r="J1702" s="63" t="str">
        <f t="shared" si="54"/>
        <v/>
      </c>
    </row>
    <row r="1703" spans="9:10">
      <c r="I1703" s="62" t="str">
        <f t="shared" si="53"/>
        <v/>
      </c>
      <c r="J1703" s="63" t="str">
        <f t="shared" si="54"/>
        <v/>
      </c>
    </row>
    <row r="1704" spans="9:10">
      <c r="I1704" s="62" t="str">
        <f t="shared" si="53"/>
        <v/>
      </c>
      <c r="J1704" s="63" t="str">
        <f t="shared" si="54"/>
        <v/>
      </c>
    </row>
    <row r="1705" spans="9:10">
      <c r="I1705" s="62" t="str">
        <f t="shared" si="53"/>
        <v/>
      </c>
      <c r="J1705" s="63" t="str">
        <f t="shared" si="54"/>
        <v/>
      </c>
    </row>
    <row r="1706" spans="9:10">
      <c r="I1706" s="62" t="str">
        <f t="shared" si="53"/>
        <v/>
      </c>
      <c r="J1706" s="63" t="str">
        <f t="shared" si="54"/>
        <v/>
      </c>
    </row>
    <row r="1707" spans="9:10">
      <c r="I1707" s="62" t="str">
        <f t="shared" si="53"/>
        <v/>
      </c>
      <c r="J1707" s="63" t="str">
        <f t="shared" si="54"/>
        <v/>
      </c>
    </row>
    <row r="1708" spans="9:10">
      <c r="I1708" s="62" t="str">
        <f t="shared" si="53"/>
        <v/>
      </c>
      <c r="J1708" s="63" t="str">
        <f t="shared" si="54"/>
        <v/>
      </c>
    </row>
    <row r="1709" spans="9:10">
      <c r="I1709" s="62" t="str">
        <f t="shared" si="53"/>
        <v/>
      </c>
      <c r="J1709" s="63" t="str">
        <f t="shared" si="54"/>
        <v/>
      </c>
    </row>
    <row r="1710" spans="9:10">
      <c r="I1710" s="62" t="str">
        <f t="shared" si="53"/>
        <v/>
      </c>
      <c r="J1710" s="63" t="str">
        <f t="shared" si="54"/>
        <v/>
      </c>
    </row>
    <row r="1711" spans="9:10">
      <c r="I1711" s="62" t="str">
        <f t="shared" si="53"/>
        <v/>
      </c>
      <c r="J1711" s="63" t="str">
        <f t="shared" si="54"/>
        <v/>
      </c>
    </row>
    <row r="1712" spans="9:10">
      <c r="I1712" s="62" t="str">
        <f t="shared" si="53"/>
        <v/>
      </c>
      <c r="J1712" s="63" t="str">
        <f t="shared" si="54"/>
        <v/>
      </c>
    </row>
    <row r="1713" spans="9:10">
      <c r="I1713" s="62" t="str">
        <f t="shared" si="53"/>
        <v/>
      </c>
      <c r="J1713" s="63" t="str">
        <f t="shared" si="54"/>
        <v/>
      </c>
    </row>
    <row r="1714" spans="9:10">
      <c r="I1714" s="62" t="str">
        <f t="shared" si="53"/>
        <v/>
      </c>
      <c r="J1714" s="63" t="str">
        <f t="shared" si="54"/>
        <v/>
      </c>
    </row>
    <row r="1715" spans="9:10">
      <c r="I1715" s="62" t="str">
        <f t="shared" si="53"/>
        <v/>
      </c>
      <c r="J1715" s="63" t="str">
        <f t="shared" si="54"/>
        <v/>
      </c>
    </row>
    <row r="1716" spans="9:10">
      <c r="I1716" s="62" t="str">
        <f t="shared" si="53"/>
        <v/>
      </c>
      <c r="J1716" s="63" t="str">
        <f t="shared" si="54"/>
        <v/>
      </c>
    </row>
    <row r="1717" spans="9:10">
      <c r="I1717" s="62" t="str">
        <f t="shared" si="53"/>
        <v/>
      </c>
      <c r="J1717" s="63" t="str">
        <f t="shared" si="54"/>
        <v/>
      </c>
    </row>
    <row r="1718" spans="9:10">
      <c r="I1718" s="62" t="str">
        <f t="shared" si="53"/>
        <v/>
      </c>
      <c r="J1718" s="63" t="str">
        <f t="shared" si="54"/>
        <v/>
      </c>
    </row>
    <row r="1719" spans="9:10">
      <c r="I1719" s="62" t="str">
        <f t="shared" si="53"/>
        <v/>
      </c>
      <c r="J1719" s="63" t="str">
        <f t="shared" si="54"/>
        <v/>
      </c>
    </row>
    <row r="1720" spans="9:10">
      <c r="I1720" s="62" t="str">
        <f t="shared" si="53"/>
        <v/>
      </c>
      <c r="J1720" s="63" t="str">
        <f t="shared" si="54"/>
        <v/>
      </c>
    </row>
    <row r="1721" spans="9:10">
      <c r="I1721" s="62" t="str">
        <f t="shared" si="53"/>
        <v/>
      </c>
      <c r="J1721" s="63" t="str">
        <f t="shared" si="54"/>
        <v/>
      </c>
    </row>
    <row r="1722" spans="9:10">
      <c r="I1722" s="62" t="str">
        <f t="shared" si="53"/>
        <v/>
      </c>
      <c r="J1722" s="63" t="str">
        <f t="shared" si="54"/>
        <v/>
      </c>
    </row>
    <row r="1723" spans="9:10">
      <c r="I1723" s="62" t="str">
        <f t="shared" si="53"/>
        <v/>
      </c>
      <c r="J1723" s="63" t="str">
        <f t="shared" si="54"/>
        <v/>
      </c>
    </row>
    <row r="1724" spans="9:10">
      <c r="I1724" s="62" t="str">
        <f t="shared" si="53"/>
        <v/>
      </c>
      <c r="J1724" s="63" t="str">
        <f t="shared" si="54"/>
        <v/>
      </c>
    </row>
    <row r="1725" spans="9:10">
      <c r="I1725" s="62" t="str">
        <f t="shared" si="53"/>
        <v/>
      </c>
      <c r="J1725" s="63" t="str">
        <f t="shared" si="54"/>
        <v/>
      </c>
    </row>
    <row r="1726" spans="9:10">
      <c r="I1726" s="62" t="str">
        <f t="shared" si="53"/>
        <v/>
      </c>
      <c r="J1726" s="63" t="str">
        <f t="shared" si="54"/>
        <v/>
      </c>
    </row>
    <row r="1727" spans="9:10">
      <c r="I1727" s="62" t="str">
        <f t="shared" si="53"/>
        <v/>
      </c>
      <c r="J1727" s="63" t="str">
        <f t="shared" si="54"/>
        <v/>
      </c>
    </row>
    <row r="1728" spans="9:10">
      <c r="I1728" s="62" t="str">
        <f t="shared" si="53"/>
        <v/>
      </c>
      <c r="J1728" s="63" t="str">
        <f t="shared" si="54"/>
        <v/>
      </c>
    </row>
    <row r="1729" spans="9:10">
      <c r="I1729" s="62" t="str">
        <f t="shared" si="53"/>
        <v/>
      </c>
      <c r="J1729" s="63" t="str">
        <f t="shared" si="54"/>
        <v/>
      </c>
    </row>
    <row r="1730" spans="9:10">
      <c r="I1730" s="62" t="str">
        <f t="shared" si="53"/>
        <v/>
      </c>
      <c r="J1730" s="63" t="str">
        <f t="shared" si="54"/>
        <v/>
      </c>
    </row>
    <row r="1731" spans="9:10">
      <c r="I1731" s="62" t="str">
        <f t="shared" si="53"/>
        <v/>
      </c>
      <c r="J1731" s="63" t="str">
        <f t="shared" si="54"/>
        <v/>
      </c>
    </row>
    <row r="1732" spans="9:10">
      <c r="I1732" s="62" t="str">
        <f t="shared" si="53"/>
        <v/>
      </c>
      <c r="J1732" s="63" t="str">
        <f t="shared" si="54"/>
        <v/>
      </c>
    </row>
    <row r="1733" spans="9:10">
      <c r="I1733" s="62" t="str">
        <f t="shared" si="53"/>
        <v/>
      </c>
      <c r="J1733" s="63" t="str">
        <f t="shared" si="54"/>
        <v/>
      </c>
    </row>
    <row r="1734" spans="9:10">
      <c r="I1734" s="62" t="str">
        <f t="shared" si="53"/>
        <v/>
      </c>
      <c r="J1734" s="63" t="str">
        <f t="shared" si="54"/>
        <v/>
      </c>
    </row>
    <row r="1735" spans="9:10">
      <c r="I1735" s="62" t="str">
        <f t="shared" si="53"/>
        <v/>
      </c>
      <c r="J1735" s="63" t="str">
        <f t="shared" si="54"/>
        <v/>
      </c>
    </row>
    <row r="1736" spans="9:10">
      <c r="I1736" s="62" t="str">
        <f t="shared" si="53"/>
        <v/>
      </c>
      <c r="J1736" s="63" t="str">
        <f t="shared" si="54"/>
        <v/>
      </c>
    </row>
    <row r="1737" spans="9:10">
      <c r="I1737" s="62" t="str">
        <f t="shared" si="53"/>
        <v/>
      </c>
      <c r="J1737" s="63" t="str">
        <f t="shared" si="54"/>
        <v/>
      </c>
    </row>
    <row r="1738" spans="9:10">
      <c r="I1738" s="62" t="str">
        <f t="shared" si="53"/>
        <v/>
      </c>
      <c r="J1738" s="63" t="str">
        <f t="shared" si="54"/>
        <v/>
      </c>
    </row>
    <row r="1739" spans="9:10">
      <c r="I1739" s="62" t="str">
        <f t="shared" si="53"/>
        <v/>
      </c>
      <c r="J1739" s="63" t="str">
        <f t="shared" si="54"/>
        <v/>
      </c>
    </row>
    <row r="1740" spans="9:10">
      <c r="I1740" s="62" t="str">
        <f t="shared" ref="I1740:I1803" si="55">IF(B1740="","",IF(B1740="Total",I1738,IF(B1738="Total",I1738, IF(ISNUMBER(A1740),A1740,I1739))))</f>
        <v/>
      </c>
      <c r="J1740" s="63" t="str">
        <f t="shared" si="54"/>
        <v/>
      </c>
    </row>
    <row r="1741" spans="9:10">
      <c r="I1741" s="62" t="str">
        <f t="shared" si="55"/>
        <v/>
      </c>
      <c r="J1741" s="63" t="str">
        <f t="shared" si="54"/>
        <v/>
      </c>
    </row>
    <row r="1742" spans="9:10">
      <c r="I1742" s="62" t="str">
        <f t="shared" si="55"/>
        <v/>
      </c>
      <c r="J1742" s="63" t="str">
        <f t="shared" si="54"/>
        <v/>
      </c>
    </row>
    <row r="1743" spans="9:10">
      <c r="I1743" s="62" t="str">
        <f t="shared" si="55"/>
        <v/>
      </c>
      <c r="J1743" s="63" t="str">
        <f t="shared" ref="J1743:J1806" si="56">IF(B1743="","",IF(B1743="Total",J1741,IF(B1741="Total",J1741,IF(A1743="",J1742,IF(ISNUMBER(A1742),B1742,IF(ISNUMBER(A1743),B1743,J1742))))))</f>
        <v/>
      </c>
    </row>
    <row r="1744" spans="9:10">
      <c r="I1744" s="62" t="str">
        <f t="shared" si="55"/>
        <v/>
      </c>
      <c r="J1744" s="63" t="str">
        <f t="shared" si="56"/>
        <v/>
      </c>
    </row>
    <row r="1745" spans="9:10">
      <c r="I1745" s="62" t="str">
        <f t="shared" si="55"/>
        <v/>
      </c>
      <c r="J1745" s="63" t="str">
        <f t="shared" si="56"/>
        <v/>
      </c>
    </row>
    <row r="1746" spans="9:10">
      <c r="I1746" s="62" t="str">
        <f t="shared" si="55"/>
        <v/>
      </c>
      <c r="J1746" s="63" t="str">
        <f t="shared" si="56"/>
        <v/>
      </c>
    </row>
    <row r="1747" spans="9:10">
      <c r="I1747" s="62" t="str">
        <f t="shared" si="55"/>
        <v/>
      </c>
      <c r="J1747" s="63" t="str">
        <f t="shared" si="56"/>
        <v/>
      </c>
    </row>
    <row r="1748" spans="9:10">
      <c r="I1748" s="62" t="str">
        <f t="shared" si="55"/>
        <v/>
      </c>
      <c r="J1748" s="63" t="str">
        <f t="shared" si="56"/>
        <v/>
      </c>
    </row>
    <row r="1749" spans="9:10">
      <c r="I1749" s="62" t="str">
        <f t="shared" si="55"/>
        <v/>
      </c>
      <c r="J1749" s="63" t="str">
        <f t="shared" si="56"/>
        <v/>
      </c>
    </row>
    <row r="1750" spans="9:10">
      <c r="I1750" s="62" t="str">
        <f t="shared" si="55"/>
        <v/>
      </c>
      <c r="J1750" s="63" t="str">
        <f t="shared" si="56"/>
        <v/>
      </c>
    </row>
    <row r="1751" spans="9:10">
      <c r="I1751" s="62" t="str">
        <f t="shared" si="55"/>
        <v/>
      </c>
      <c r="J1751" s="63" t="str">
        <f t="shared" si="56"/>
        <v/>
      </c>
    </row>
    <row r="1752" spans="9:10">
      <c r="I1752" s="62" t="str">
        <f t="shared" si="55"/>
        <v/>
      </c>
      <c r="J1752" s="63" t="str">
        <f t="shared" si="56"/>
        <v/>
      </c>
    </row>
    <row r="1753" spans="9:10">
      <c r="I1753" s="62" t="str">
        <f t="shared" si="55"/>
        <v/>
      </c>
      <c r="J1753" s="63" t="str">
        <f t="shared" si="56"/>
        <v/>
      </c>
    </row>
    <row r="1754" spans="9:10">
      <c r="I1754" s="62" t="str">
        <f t="shared" si="55"/>
        <v/>
      </c>
      <c r="J1754" s="63" t="str">
        <f t="shared" si="56"/>
        <v/>
      </c>
    </row>
    <row r="1755" spans="9:10">
      <c r="I1755" s="62" t="str">
        <f t="shared" si="55"/>
        <v/>
      </c>
      <c r="J1755" s="63" t="str">
        <f t="shared" si="56"/>
        <v/>
      </c>
    </row>
    <row r="1756" spans="9:10">
      <c r="I1756" s="62" t="str">
        <f t="shared" si="55"/>
        <v/>
      </c>
      <c r="J1756" s="63" t="str">
        <f t="shared" si="56"/>
        <v/>
      </c>
    </row>
    <row r="1757" spans="9:10">
      <c r="I1757" s="62" t="str">
        <f t="shared" si="55"/>
        <v/>
      </c>
      <c r="J1757" s="63" t="str">
        <f t="shared" si="56"/>
        <v/>
      </c>
    </row>
    <row r="1758" spans="9:10">
      <c r="I1758" s="62" t="str">
        <f t="shared" si="55"/>
        <v/>
      </c>
      <c r="J1758" s="63" t="str">
        <f t="shared" si="56"/>
        <v/>
      </c>
    </row>
    <row r="1759" spans="9:10">
      <c r="I1759" s="62" t="str">
        <f t="shared" si="55"/>
        <v/>
      </c>
      <c r="J1759" s="63" t="str">
        <f t="shared" si="56"/>
        <v/>
      </c>
    </row>
    <row r="1760" spans="9:10">
      <c r="I1760" s="62" t="str">
        <f t="shared" si="55"/>
        <v/>
      </c>
      <c r="J1760" s="63" t="str">
        <f t="shared" si="56"/>
        <v/>
      </c>
    </row>
    <row r="1761" spans="9:10">
      <c r="I1761" s="62" t="str">
        <f t="shared" si="55"/>
        <v/>
      </c>
      <c r="J1761" s="63" t="str">
        <f t="shared" si="56"/>
        <v/>
      </c>
    </row>
    <row r="1762" spans="9:10">
      <c r="I1762" s="62" t="str">
        <f t="shared" si="55"/>
        <v/>
      </c>
      <c r="J1762" s="63" t="str">
        <f t="shared" si="56"/>
        <v/>
      </c>
    </row>
    <row r="1763" spans="9:10">
      <c r="I1763" s="62" t="str">
        <f t="shared" si="55"/>
        <v/>
      </c>
      <c r="J1763" s="63" t="str">
        <f t="shared" si="56"/>
        <v/>
      </c>
    </row>
    <row r="1764" spans="9:10">
      <c r="I1764" s="62" t="str">
        <f t="shared" si="55"/>
        <v/>
      </c>
      <c r="J1764" s="63" t="str">
        <f t="shared" si="56"/>
        <v/>
      </c>
    </row>
    <row r="1765" spans="9:10">
      <c r="I1765" s="62" t="str">
        <f t="shared" si="55"/>
        <v/>
      </c>
      <c r="J1765" s="63" t="str">
        <f t="shared" si="56"/>
        <v/>
      </c>
    </row>
    <row r="1766" spans="9:10">
      <c r="I1766" s="62" t="str">
        <f t="shared" si="55"/>
        <v/>
      </c>
      <c r="J1766" s="63" t="str">
        <f t="shared" si="56"/>
        <v/>
      </c>
    </row>
    <row r="1767" spans="9:10">
      <c r="I1767" s="62" t="str">
        <f t="shared" si="55"/>
        <v/>
      </c>
      <c r="J1767" s="63" t="str">
        <f t="shared" si="56"/>
        <v/>
      </c>
    </row>
    <row r="1768" spans="9:10">
      <c r="I1768" s="62" t="str">
        <f t="shared" si="55"/>
        <v/>
      </c>
      <c r="J1768" s="63" t="str">
        <f t="shared" si="56"/>
        <v/>
      </c>
    </row>
    <row r="1769" spans="9:10">
      <c r="I1769" s="62" t="str">
        <f t="shared" si="55"/>
        <v/>
      </c>
      <c r="J1769" s="63" t="str">
        <f t="shared" si="56"/>
        <v/>
      </c>
    </row>
    <row r="1770" spans="9:10">
      <c r="I1770" s="62" t="str">
        <f t="shared" si="55"/>
        <v/>
      </c>
      <c r="J1770" s="63" t="str">
        <f t="shared" si="56"/>
        <v/>
      </c>
    </row>
    <row r="1771" spans="9:10">
      <c r="I1771" s="62" t="str">
        <f t="shared" si="55"/>
        <v/>
      </c>
      <c r="J1771" s="63" t="str">
        <f t="shared" si="56"/>
        <v/>
      </c>
    </row>
    <row r="1772" spans="9:10">
      <c r="I1772" s="62" t="str">
        <f t="shared" si="55"/>
        <v/>
      </c>
      <c r="J1772" s="63" t="str">
        <f t="shared" si="56"/>
        <v/>
      </c>
    </row>
    <row r="1773" spans="9:10">
      <c r="I1773" s="62" t="str">
        <f t="shared" si="55"/>
        <v/>
      </c>
      <c r="J1773" s="63" t="str">
        <f t="shared" si="56"/>
        <v/>
      </c>
    </row>
    <row r="1774" spans="9:10">
      <c r="I1774" s="62" t="str">
        <f t="shared" si="55"/>
        <v/>
      </c>
      <c r="J1774" s="63" t="str">
        <f t="shared" si="56"/>
        <v/>
      </c>
    </row>
    <row r="1775" spans="9:10">
      <c r="I1775" s="62" t="str">
        <f t="shared" si="55"/>
        <v/>
      </c>
      <c r="J1775" s="63" t="str">
        <f t="shared" si="56"/>
        <v/>
      </c>
    </row>
    <row r="1776" spans="9:10">
      <c r="I1776" s="62" t="str">
        <f t="shared" si="55"/>
        <v/>
      </c>
      <c r="J1776" s="63" t="str">
        <f t="shared" si="56"/>
        <v/>
      </c>
    </row>
    <row r="1777" spans="9:10">
      <c r="I1777" s="62" t="str">
        <f t="shared" si="55"/>
        <v/>
      </c>
      <c r="J1777" s="63" t="str">
        <f t="shared" si="56"/>
        <v/>
      </c>
    </row>
    <row r="1778" spans="9:10">
      <c r="I1778" s="62" t="str">
        <f t="shared" si="55"/>
        <v/>
      </c>
      <c r="J1778" s="63" t="str">
        <f t="shared" si="56"/>
        <v/>
      </c>
    </row>
    <row r="1779" spans="9:10">
      <c r="I1779" s="62" t="str">
        <f t="shared" si="55"/>
        <v/>
      </c>
      <c r="J1779" s="63" t="str">
        <f t="shared" si="56"/>
        <v/>
      </c>
    </row>
    <row r="1780" spans="9:10">
      <c r="I1780" s="62" t="str">
        <f t="shared" si="55"/>
        <v/>
      </c>
      <c r="J1780" s="63" t="str">
        <f t="shared" si="56"/>
        <v/>
      </c>
    </row>
    <row r="1781" spans="9:10">
      <c r="I1781" s="62" t="str">
        <f t="shared" si="55"/>
        <v/>
      </c>
      <c r="J1781" s="63" t="str">
        <f t="shared" si="56"/>
        <v/>
      </c>
    </row>
    <row r="1782" spans="9:10">
      <c r="I1782" s="62" t="str">
        <f t="shared" si="55"/>
        <v/>
      </c>
      <c r="J1782" s="63" t="str">
        <f t="shared" si="56"/>
        <v/>
      </c>
    </row>
    <row r="1783" spans="9:10">
      <c r="I1783" s="62" t="str">
        <f t="shared" si="55"/>
        <v/>
      </c>
      <c r="J1783" s="63" t="str">
        <f t="shared" si="56"/>
        <v/>
      </c>
    </row>
    <row r="1784" spans="9:10">
      <c r="I1784" s="62" t="str">
        <f t="shared" si="55"/>
        <v/>
      </c>
      <c r="J1784" s="63" t="str">
        <f t="shared" si="56"/>
        <v/>
      </c>
    </row>
    <row r="1785" spans="9:10">
      <c r="I1785" s="62" t="str">
        <f t="shared" si="55"/>
        <v/>
      </c>
      <c r="J1785" s="63" t="str">
        <f t="shared" si="56"/>
        <v/>
      </c>
    </row>
    <row r="1786" spans="9:10">
      <c r="I1786" s="62" t="str">
        <f t="shared" si="55"/>
        <v/>
      </c>
      <c r="J1786" s="63" t="str">
        <f t="shared" si="56"/>
        <v/>
      </c>
    </row>
    <row r="1787" spans="9:10">
      <c r="I1787" s="62" t="str">
        <f t="shared" si="55"/>
        <v/>
      </c>
      <c r="J1787" s="63" t="str">
        <f t="shared" si="56"/>
        <v/>
      </c>
    </row>
    <row r="1788" spans="9:10">
      <c r="I1788" s="62" t="str">
        <f t="shared" si="55"/>
        <v/>
      </c>
      <c r="J1788" s="63" t="str">
        <f t="shared" si="56"/>
        <v/>
      </c>
    </row>
    <row r="1789" spans="9:10">
      <c r="I1789" s="62" t="str">
        <f t="shared" si="55"/>
        <v/>
      </c>
      <c r="J1789" s="63" t="str">
        <f t="shared" si="56"/>
        <v/>
      </c>
    </row>
    <row r="1790" spans="9:10">
      <c r="I1790" s="62" t="str">
        <f t="shared" si="55"/>
        <v/>
      </c>
      <c r="J1790" s="63" t="str">
        <f t="shared" si="56"/>
        <v/>
      </c>
    </row>
    <row r="1791" spans="9:10">
      <c r="I1791" s="62" t="str">
        <f t="shared" si="55"/>
        <v/>
      </c>
      <c r="J1791" s="63" t="str">
        <f t="shared" si="56"/>
        <v/>
      </c>
    </row>
    <row r="1792" spans="9:10">
      <c r="I1792" s="62" t="str">
        <f t="shared" si="55"/>
        <v/>
      </c>
      <c r="J1792" s="63" t="str">
        <f t="shared" si="56"/>
        <v/>
      </c>
    </row>
    <row r="1793" spans="9:10">
      <c r="I1793" s="62" t="str">
        <f t="shared" si="55"/>
        <v/>
      </c>
      <c r="J1793" s="63" t="str">
        <f t="shared" si="56"/>
        <v/>
      </c>
    </row>
    <row r="1794" spans="9:10">
      <c r="I1794" s="62" t="str">
        <f t="shared" si="55"/>
        <v/>
      </c>
      <c r="J1794" s="63" t="str">
        <f t="shared" si="56"/>
        <v/>
      </c>
    </row>
    <row r="1795" spans="9:10">
      <c r="I1795" s="62" t="str">
        <f t="shared" si="55"/>
        <v/>
      </c>
      <c r="J1795" s="63" t="str">
        <f t="shared" si="56"/>
        <v/>
      </c>
    </row>
    <row r="1796" spans="9:10">
      <c r="I1796" s="62" t="str">
        <f t="shared" si="55"/>
        <v/>
      </c>
      <c r="J1796" s="63" t="str">
        <f t="shared" si="56"/>
        <v/>
      </c>
    </row>
    <row r="1797" spans="9:10">
      <c r="I1797" s="62" t="str">
        <f t="shared" si="55"/>
        <v/>
      </c>
      <c r="J1797" s="63" t="str">
        <f t="shared" si="56"/>
        <v/>
      </c>
    </row>
    <row r="1798" spans="9:10">
      <c r="I1798" s="62" t="str">
        <f t="shared" si="55"/>
        <v/>
      </c>
      <c r="J1798" s="63" t="str">
        <f t="shared" si="56"/>
        <v/>
      </c>
    </row>
    <row r="1799" spans="9:10">
      <c r="I1799" s="62" t="str">
        <f t="shared" si="55"/>
        <v/>
      </c>
      <c r="J1799" s="63" t="str">
        <f t="shared" si="56"/>
        <v/>
      </c>
    </row>
    <row r="1800" spans="9:10">
      <c r="I1800" s="62" t="str">
        <f t="shared" si="55"/>
        <v/>
      </c>
      <c r="J1800" s="63" t="str">
        <f t="shared" si="56"/>
        <v/>
      </c>
    </row>
    <row r="1801" spans="9:10">
      <c r="I1801" s="62" t="str">
        <f t="shared" si="55"/>
        <v/>
      </c>
      <c r="J1801" s="63" t="str">
        <f t="shared" si="56"/>
        <v/>
      </c>
    </row>
    <row r="1802" spans="9:10">
      <c r="I1802" s="62" t="str">
        <f t="shared" si="55"/>
        <v/>
      </c>
      <c r="J1802" s="63" t="str">
        <f t="shared" si="56"/>
        <v/>
      </c>
    </row>
    <row r="1803" spans="9:10">
      <c r="I1803" s="62" t="str">
        <f t="shared" si="55"/>
        <v/>
      </c>
      <c r="J1803" s="63" t="str">
        <f t="shared" si="56"/>
        <v/>
      </c>
    </row>
    <row r="1804" spans="9:10">
      <c r="I1804" s="62" t="str">
        <f t="shared" ref="I1804:I1867" si="57">IF(B1804="","",IF(B1804="Total",I1802,IF(B1802="Total",I1802, IF(ISNUMBER(A1804),A1804,I1803))))</f>
        <v/>
      </c>
      <c r="J1804" s="63" t="str">
        <f t="shared" si="56"/>
        <v/>
      </c>
    </row>
    <row r="1805" spans="9:10">
      <c r="I1805" s="62" t="str">
        <f t="shared" si="57"/>
        <v/>
      </c>
      <c r="J1805" s="63" t="str">
        <f t="shared" si="56"/>
        <v/>
      </c>
    </row>
    <row r="1806" spans="9:10">
      <c r="I1806" s="62" t="str">
        <f t="shared" si="57"/>
        <v/>
      </c>
      <c r="J1806" s="63" t="str">
        <f t="shared" si="56"/>
        <v/>
      </c>
    </row>
    <row r="1807" spans="9:10">
      <c r="I1807" s="62" t="str">
        <f t="shared" si="57"/>
        <v/>
      </c>
      <c r="J1807" s="63" t="str">
        <f t="shared" ref="J1807:J1870" si="58">IF(B1807="","",IF(B1807="Total",J1805,IF(B1805="Total",J1805,IF(A1807="",J1806,IF(ISNUMBER(A1806),B1806,IF(ISNUMBER(A1807),B1807,J1806))))))</f>
        <v/>
      </c>
    </row>
    <row r="1808" spans="9:10">
      <c r="I1808" s="62" t="str">
        <f t="shared" si="57"/>
        <v/>
      </c>
      <c r="J1808" s="63" t="str">
        <f t="shared" si="58"/>
        <v/>
      </c>
    </row>
    <row r="1809" spans="9:10">
      <c r="I1809" s="62" t="str">
        <f t="shared" si="57"/>
        <v/>
      </c>
      <c r="J1809" s="63" t="str">
        <f t="shared" si="58"/>
        <v/>
      </c>
    </row>
    <row r="1810" spans="9:10">
      <c r="I1810" s="62" t="str">
        <f t="shared" si="57"/>
        <v/>
      </c>
      <c r="J1810" s="63" t="str">
        <f t="shared" si="58"/>
        <v/>
      </c>
    </row>
    <row r="1811" spans="9:10">
      <c r="I1811" s="62" t="str">
        <f t="shared" si="57"/>
        <v/>
      </c>
      <c r="J1811" s="63" t="str">
        <f t="shared" si="58"/>
        <v/>
      </c>
    </row>
    <row r="1812" spans="9:10">
      <c r="I1812" s="62" t="str">
        <f t="shared" si="57"/>
        <v/>
      </c>
      <c r="J1812" s="63" t="str">
        <f t="shared" si="58"/>
        <v/>
      </c>
    </row>
    <row r="1813" spans="9:10">
      <c r="I1813" s="62" t="str">
        <f t="shared" si="57"/>
        <v/>
      </c>
      <c r="J1813" s="63" t="str">
        <f t="shared" si="58"/>
        <v/>
      </c>
    </row>
    <row r="1814" spans="9:10">
      <c r="I1814" s="62" t="str">
        <f t="shared" si="57"/>
        <v/>
      </c>
      <c r="J1814" s="63" t="str">
        <f t="shared" si="58"/>
        <v/>
      </c>
    </row>
    <row r="1815" spans="9:10">
      <c r="I1815" s="62" t="str">
        <f t="shared" si="57"/>
        <v/>
      </c>
      <c r="J1815" s="63" t="str">
        <f t="shared" si="58"/>
        <v/>
      </c>
    </row>
    <row r="1816" spans="9:10">
      <c r="I1816" s="62" t="str">
        <f t="shared" si="57"/>
        <v/>
      </c>
      <c r="J1816" s="63" t="str">
        <f t="shared" si="58"/>
        <v/>
      </c>
    </row>
    <row r="1817" spans="9:10">
      <c r="I1817" s="62" t="str">
        <f t="shared" si="57"/>
        <v/>
      </c>
      <c r="J1817" s="63" t="str">
        <f t="shared" si="58"/>
        <v/>
      </c>
    </row>
    <row r="1818" spans="9:10">
      <c r="I1818" s="62" t="str">
        <f t="shared" si="57"/>
        <v/>
      </c>
      <c r="J1818" s="63" t="str">
        <f t="shared" si="58"/>
        <v/>
      </c>
    </row>
    <row r="1819" spans="9:10">
      <c r="I1819" s="62" t="str">
        <f t="shared" si="57"/>
        <v/>
      </c>
      <c r="J1819" s="63" t="str">
        <f t="shared" si="58"/>
        <v/>
      </c>
    </row>
    <row r="1820" spans="9:10">
      <c r="I1820" s="62" t="str">
        <f t="shared" si="57"/>
        <v/>
      </c>
      <c r="J1820" s="63" t="str">
        <f t="shared" si="58"/>
        <v/>
      </c>
    </row>
    <row r="1821" spans="9:10">
      <c r="I1821" s="62" t="str">
        <f t="shared" si="57"/>
        <v/>
      </c>
      <c r="J1821" s="63" t="str">
        <f t="shared" si="58"/>
        <v/>
      </c>
    </row>
    <row r="1822" spans="9:10">
      <c r="I1822" s="62" t="str">
        <f t="shared" si="57"/>
        <v/>
      </c>
      <c r="J1822" s="63" t="str">
        <f t="shared" si="58"/>
        <v/>
      </c>
    </row>
    <row r="1823" spans="9:10">
      <c r="I1823" s="62" t="str">
        <f t="shared" si="57"/>
        <v/>
      </c>
      <c r="J1823" s="63" t="str">
        <f t="shared" si="58"/>
        <v/>
      </c>
    </row>
    <row r="1824" spans="9:10">
      <c r="I1824" s="62" t="str">
        <f t="shared" si="57"/>
        <v/>
      </c>
      <c r="J1824" s="63" t="str">
        <f t="shared" si="58"/>
        <v/>
      </c>
    </row>
    <row r="1825" spans="9:10">
      <c r="I1825" s="62" t="str">
        <f t="shared" si="57"/>
        <v/>
      </c>
      <c r="J1825" s="63" t="str">
        <f t="shared" si="58"/>
        <v/>
      </c>
    </row>
    <row r="1826" spans="9:10">
      <c r="I1826" s="62" t="str">
        <f t="shared" si="57"/>
        <v/>
      </c>
      <c r="J1826" s="63" t="str">
        <f t="shared" si="58"/>
        <v/>
      </c>
    </row>
    <row r="1827" spans="9:10">
      <c r="I1827" s="62" t="str">
        <f t="shared" si="57"/>
        <v/>
      </c>
      <c r="J1827" s="63" t="str">
        <f t="shared" si="58"/>
        <v/>
      </c>
    </row>
    <row r="1828" spans="9:10">
      <c r="I1828" s="62" t="str">
        <f t="shared" si="57"/>
        <v/>
      </c>
      <c r="J1828" s="63" t="str">
        <f t="shared" si="58"/>
        <v/>
      </c>
    </row>
    <row r="1829" spans="9:10">
      <c r="I1829" s="62" t="str">
        <f t="shared" si="57"/>
        <v/>
      </c>
      <c r="J1829" s="63" t="str">
        <f t="shared" si="58"/>
        <v/>
      </c>
    </row>
    <row r="1830" spans="9:10">
      <c r="I1830" s="62" t="str">
        <f t="shared" si="57"/>
        <v/>
      </c>
      <c r="J1830" s="63" t="str">
        <f t="shared" si="58"/>
        <v/>
      </c>
    </row>
    <row r="1831" spans="9:10">
      <c r="I1831" s="62" t="str">
        <f t="shared" si="57"/>
        <v/>
      </c>
      <c r="J1831" s="63" t="str">
        <f t="shared" si="58"/>
        <v/>
      </c>
    </row>
    <row r="1832" spans="9:10">
      <c r="I1832" s="62" t="str">
        <f t="shared" si="57"/>
        <v/>
      </c>
      <c r="J1832" s="63" t="str">
        <f t="shared" si="58"/>
        <v/>
      </c>
    </row>
    <row r="1833" spans="9:10">
      <c r="I1833" s="62" t="str">
        <f t="shared" si="57"/>
        <v/>
      </c>
      <c r="J1833" s="63" t="str">
        <f t="shared" si="58"/>
        <v/>
      </c>
    </row>
    <row r="1834" spans="9:10">
      <c r="I1834" s="62" t="str">
        <f t="shared" si="57"/>
        <v/>
      </c>
      <c r="J1834" s="63" t="str">
        <f t="shared" si="58"/>
        <v/>
      </c>
    </row>
    <row r="1835" spans="9:10">
      <c r="I1835" s="62" t="str">
        <f t="shared" si="57"/>
        <v/>
      </c>
      <c r="J1835" s="63" t="str">
        <f t="shared" si="58"/>
        <v/>
      </c>
    </row>
    <row r="1836" spans="9:10">
      <c r="I1836" s="62" t="str">
        <f t="shared" si="57"/>
        <v/>
      </c>
      <c r="J1836" s="63" t="str">
        <f t="shared" si="58"/>
        <v/>
      </c>
    </row>
    <row r="1837" spans="9:10">
      <c r="I1837" s="62" t="str">
        <f t="shared" si="57"/>
        <v/>
      </c>
      <c r="J1837" s="63" t="str">
        <f t="shared" si="58"/>
        <v/>
      </c>
    </row>
    <row r="1838" spans="9:10">
      <c r="I1838" s="62" t="str">
        <f t="shared" si="57"/>
        <v/>
      </c>
      <c r="J1838" s="63" t="str">
        <f t="shared" si="58"/>
        <v/>
      </c>
    </row>
    <row r="1839" spans="9:10">
      <c r="I1839" s="62" t="str">
        <f t="shared" si="57"/>
        <v/>
      </c>
      <c r="J1839" s="63" t="str">
        <f t="shared" si="58"/>
        <v/>
      </c>
    </row>
    <row r="1840" spans="9:10">
      <c r="I1840" s="62" t="str">
        <f t="shared" si="57"/>
        <v/>
      </c>
      <c r="J1840" s="63" t="str">
        <f t="shared" si="58"/>
        <v/>
      </c>
    </row>
    <row r="1841" spans="9:10">
      <c r="I1841" s="62" t="str">
        <f t="shared" si="57"/>
        <v/>
      </c>
      <c r="J1841" s="63" t="str">
        <f t="shared" si="58"/>
        <v/>
      </c>
    </row>
    <row r="1842" spans="9:10">
      <c r="I1842" s="62" t="str">
        <f t="shared" si="57"/>
        <v/>
      </c>
      <c r="J1842" s="63" t="str">
        <f t="shared" si="58"/>
        <v/>
      </c>
    </row>
    <row r="1843" spans="9:10">
      <c r="I1843" s="62" t="str">
        <f t="shared" si="57"/>
        <v/>
      </c>
      <c r="J1843" s="63" t="str">
        <f t="shared" si="58"/>
        <v/>
      </c>
    </row>
    <row r="1844" spans="9:10">
      <c r="I1844" s="62" t="str">
        <f t="shared" si="57"/>
        <v/>
      </c>
      <c r="J1844" s="63" t="str">
        <f t="shared" si="58"/>
        <v/>
      </c>
    </row>
    <row r="1845" spans="9:10">
      <c r="I1845" s="62" t="str">
        <f t="shared" si="57"/>
        <v/>
      </c>
      <c r="J1845" s="63" t="str">
        <f t="shared" si="58"/>
        <v/>
      </c>
    </row>
    <row r="1846" spans="9:10">
      <c r="I1846" s="62" t="str">
        <f t="shared" si="57"/>
        <v/>
      </c>
      <c r="J1846" s="63" t="str">
        <f t="shared" si="58"/>
        <v/>
      </c>
    </row>
    <row r="1847" spans="9:10">
      <c r="I1847" s="62" t="str">
        <f t="shared" si="57"/>
        <v/>
      </c>
      <c r="J1847" s="63" t="str">
        <f t="shared" si="58"/>
        <v/>
      </c>
    </row>
    <row r="1848" spans="9:10">
      <c r="I1848" s="62" t="str">
        <f t="shared" si="57"/>
        <v/>
      </c>
      <c r="J1848" s="63" t="str">
        <f t="shared" si="58"/>
        <v/>
      </c>
    </row>
    <row r="1849" spans="9:10">
      <c r="I1849" s="62" t="str">
        <f t="shared" si="57"/>
        <v/>
      </c>
      <c r="J1849" s="63" t="str">
        <f t="shared" si="58"/>
        <v/>
      </c>
    </row>
    <row r="1850" spans="9:10">
      <c r="I1850" s="62" t="str">
        <f t="shared" si="57"/>
        <v/>
      </c>
      <c r="J1850" s="63" t="str">
        <f t="shared" si="58"/>
        <v/>
      </c>
    </row>
    <row r="1851" spans="9:10">
      <c r="I1851" s="62" t="str">
        <f t="shared" si="57"/>
        <v/>
      </c>
      <c r="J1851" s="63" t="str">
        <f t="shared" si="58"/>
        <v/>
      </c>
    </row>
    <row r="1852" spans="9:10">
      <c r="I1852" s="62" t="str">
        <f t="shared" si="57"/>
        <v/>
      </c>
      <c r="J1852" s="63" t="str">
        <f t="shared" si="58"/>
        <v/>
      </c>
    </row>
    <row r="1853" spans="9:10">
      <c r="I1853" s="62" t="str">
        <f t="shared" si="57"/>
        <v/>
      </c>
      <c r="J1853" s="63" t="str">
        <f t="shared" si="58"/>
        <v/>
      </c>
    </row>
    <row r="1854" spans="9:10">
      <c r="I1854" s="62" t="str">
        <f t="shared" si="57"/>
        <v/>
      </c>
      <c r="J1854" s="63" t="str">
        <f t="shared" si="58"/>
        <v/>
      </c>
    </row>
    <row r="1855" spans="9:10">
      <c r="I1855" s="62" t="str">
        <f t="shared" si="57"/>
        <v/>
      </c>
      <c r="J1855" s="63" t="str">
        <f t="shared" si="58"/>
        <v/>
      </c>
    </row>
    <row r="1856" spans="9:10">
      <c r="I1856" s="62" t="str">
        <f t="shared" si="57"/>
        <v/>
      </c>
      <c r="J1856" s="63" t="str">
        <f t="shared" si="58"/>
        <v/>
      </c>
    </row>
    <row r="1857" spans="9:10">
      <c r="I1857" s="62" t="str">
        <f t="shared" si="57"/>
        <v/>
      </c>
      <c r="J1857" s="63" t="str">
        <f t="shared" si="58"/>
        <v/>
      </c>
    </row>
    <row r="1858" spans="9:10">
      <c r="I1858" s="62" t="str">
        <f t="shared" si="57"/>
        <v/>
      </c>
      <c r="J1858" s="63" t="str">
        <f t="shared" si="58"/>
        <v/>
      </c>
    </row>
    <row r="1859" spans="9:10">
      <c r="I1859" s="62" t="str">
        <f t="shared" si="57"/>
        <v/>
      </c>
      <c r="J1859" s="63" t="str">
        <f t="shared" si="58"/>
        <v/>
      </c>
    </row>
    <row r="1860" spans="9:10">
      <c r="I1860" s="62" t="str">
        <f t="shared" si="57"/>
        <v/>
      </c>
      <c r="J1860" s="63" t="str">
        <f t="shared" si="58"/>
        <v/>
      </c>
    </row>
    <row r="1861" spans="9:10">
      <c r="I1861" s="62" t="str">
        <f t="shared" si="57"/>
        <v/>
      </c>
      <c r="J1861" s="63" t="str">
        <f t="shared" si="58"/>
        <v/>
      </c>
    </row>
    <row r="1862" spans="9:10">
      <c r="I1862" s="62" t="str">
        <f t="shared" si="57"/>
        <v/>
      </c>
      <c r="J1862" s="63" t="str">
        <f t="shared" si="58"/>
        <v/>
      </c>
    </row>
    <row r="1863" spans="9:10">
      <c r="I1863" s="62" t="str">
        <f t="shared" si="57"/>
        <v/>
      </c>
      <c r="J1863" s="63" t="str">
        <f t="shared" si="58"/>
        <v/>
      </c>
    </row>
    <row r="1864" spans="9:10">
      <c r="I1864" s="62" t="str">
        <f t="shared" si="57"/>
        <v/>
      </c>
      <c r="J1864" s="63" t="str">
        <f t="shared" si="58"/>
        <v/>
      </c>
    </row>
    <row r="1865" spans="9:10">
      <c r="I1865" s="62" t="str">
        <f t="shared" si="57"/>
        <v/>
      </c>
      <c r="J1865" s="63" t="str">
        <f t="shared" si="58"/>
        <v/>
      </c>
    </row>
    <row r="1866" spans="9:10">
      <c r="I1866" s="62" t="str">
        <f t="shared" si="57"/>
        <v/>
      </c>
      <c r="J1866" s="63" t="str">
        <f t="shared" si="58"/>
        <v/>
      </c>
    </row>
    <row r="1867" spans="9:10">
      <c r="I1867" s="62" t="str">
        <f t="shared" si="57"/>
        <v/>
      </c>
      <c r="J1867" s="63" t="str">
        <f t="shared" si="58"/>
        <v/>
      </c>
    </row>
    <row r="1868" spans="9:10">
      <c r="I1868" s="62" t="str">
        <f t="shared" ref="I1868:I1931" si="59">IF(B1868="","",IF(B1868="Total",I1866,IF(B1866="Total",I1866, IF(ISNUMBER(A1868),A1868,I1867))))</f>
        <v/>
      </c>
      <c r="J1868" s="63" t="str">
        <f t="shared" si="58"/>
        <v/>
      </c>
    </row>
    <row r="1869" spans="9:10">
      <c r="I1869" s="62" t="str">
        <f t="shared" si="59"/>
        <v/>
      </c>
      <c r="J1869" s="63" t="str">
        <f t="shared" si="58"/>
        <v/>
      </c>
    </row>
    <row r="1870" spans="9:10">
      <c r="I1870" s="62" t="str">
        <f t="shared" si="59"/>
        <v/>
      </c>
      <c r="J1870" s="63" t="str">
        <f t="shared" si="58"/>
        <v/>
      </c>
    </row>
    <row r="1871" spans="9:10">
      <c r="I1871" s="62" t="str">
        <f t="shared" si="59"/>
        <v/>
      </c>
      <c r="J1871" s="63" t="str">
        <f t="shared" ref="J1871:J1934" si="60">IF(B1871="","",IF(B1871="Total",J1869,IF(B1869="Total",J1869,IF(A1871="",J1870,IF(ISNUMBER(A1870),B1870,IF(ISNUMBER(A1871),B1871,J1870))))))</f>
        <v/>
      </c>
    </row>
    <row r="1872" spans="9:10">
      <c r="I1872" s="62" t="str">
        <f t="shared" si="59"/>
        <v/>
      </c>
      <c r="J1872" s="63" t="str">
        <f t="shared" si="60"/>
        <v/>
      </c>
    </row>
    <row r="1873" spans="9:10">
      <c r="I1873" s="62" t="str">
        <f t="shared" si="59"/>
        <v/>
      </c>
      <c r="J1873" s="63" t="str">
        <f t="shared" si="60"/>
        <v/>
      </c>
    </row>
    <row r="1874" spans="9:10">
      <c r="I1874" s="62" t="str">
        <f t="shared" si="59"/>
        <v/>
      </c>
      <c r="J1874" s="63" t="str">
        <f t="shared" si="60"/>
        <v/>
      </c>
    </row>
    <row r="1875" spans="9:10">
      <c r="I1875" s="62" t="str">
        <f t="shared" si="59"/>
        <v/>
      </c>
      <c r="J1875" s="63" t="str">
        <f t="shared" si="60"/>
        <v/>
      </c>
    </row>
    <row r="1876" spans="9:10">
      <c r="I1876" s="62" t="str">
        <f t="shared" si="59"/>
        <v/>
      </c>
      <c r="J1876" s="63" t="str">
        <f t="shared" si="60"/>
        <v/>
      </c>
    </row>
    <row r="1877" spans="9:10">
      <c r="I1877" s="62" t="str">
        <f t="shared" si="59"/>
        <v/>
      </c>
      <c r="J1877" s="63" t="str">
        <f t="shared" si="60"/>
        <v/>
      </c>
    </row>
    <row r="1878" spans="9:10">
      <c r="I1878" s="62" t="str">
        <f t="shared" si="59"/>
        <v/>
      </c>
      <c r="J1878" s="63" t="str">
        <f t="shared" si="60"/>
        <v/>
      </c>
    </row>
    <row r="1879" spans="9:10">
      <c r="I1879" s="62" t="str">
        <f t="shared" si="59"/>
        <v/>
      </c>
      <c r="J1879" s="63" t="str">
        <f t="shared" si="60"/>
        <v/>
      </c>
    </row>
    <row r="1880" spans="9:10">
      <c r="I1880" s="62" t="str">
        <f t="shared" si="59"/>
        <v/>
      </c>
      <c r="J1880" s="63" t="str">
        <f t="shared" si="60"/>
        <v/>
      </c>
    </row>
    <row r="1881" spans="9:10">
      <c r="I1881" s="62" t="str">
        <f t="shared" si="59"/>
        <v/>
      </c>
      <c r="J1881" s="63" t="str">
        <f t="shared" si="60"/>
        <v/>
      </c>
    </row>
    <row r="1882" spans="9:10">
      <c r="I1882" s="62" t="str">
        <f t="shared" si="59"/>
        <v/>
      </c>
      <c r="J1882" s="63" t="str">
        <f t="shared" si="60"/>
        <v/>
      </c>
    </row>
    <row r="1883" spans="9:10">
      <c r="I1883" s="62" t="str">
        <f t="shared" si="59"/>
        <v/>
      </c>
      <c r="J1883" s="63" t="str">
        <f t="shared" si="60"/>
        <v/>
      </c>
    </row>
    <row r="1884" spans="9:10">
      <c r="I1884" s="62" t="str">
        <f t="shared" si="59"/>
        <v/>
      </c>
      <c r="J1884" s="63" t="str">
        <f t="shared" si="60"/>
        <v/>
      </c>
    </row>
    <row r="1885" spans="9:10">
      <c r="I1885" s="62" t="str">
        <f t="shared" si="59"/>
        <v/>
      </c>
      <c r="J1885" s="63" t="str">
        <f t="shared" si="60"/>
        <v/>
      </c>
    </row>
    <row r="1886" spans="9:10">
      <c r="I1886" s="62" t="str">
        <f t="shared" si="59"/>
        <v/>
      </c>
      <c r="J1886" s="63" t="str">
        <f t="shared" si="60"/>
        <v/>
      </c>
    </row>
    <row r="1887" spans="9:10">
      <c r="I1887" s="62" t="str">
        <f t="shared" si="59"/>
        <v/>
      </c>
      <c r="J1887" s="63" t="str">
        <f t="shared" si="60"/>
        <v/>
      </c>
    </row>
    <row r="1888" spans="9:10">
      <c r="I1888" s="62" t="str">
        <f t="shared" si="59"/>
        <v/>
      </c>
      <c r="J1888" s="63" t="str">
        <f t="shared" si="60"/>
        <v/>
      </c>
    </row>
    <row r="1889" spans="9:10">
      <c r="I1889" s="62" t="str">
        <f t="shared" si="59"/>
        <v/>
      </c>
      <c r="J1889" s="63" t="str">
        <f t="shared" si="60"/>
        <v/>
      </c>
    </row>
    <row r="1890" spans="9:10">
      <c r="I1890" s="62" t="str">
        <f t="shared" si="59"/>
        <v/>
      </c>
      <c r="J1890" s="63" t="str">
        <f t="shared" si="60"/>
        <v/>
      </c>
    </row>
    <row r="1891" spans="9:10">
      <c r="I1891" s="62" t="str">
        <f t="shared" si="59"/>
        <v/>
      </c>
      <c r="J1891" s="63" t="str">
        <f t="shared" si="60"/>
        <v/>
      </c>
    </row>
    <row r="1892" spans="9:10">
      <c r="I1892" s="62" t="str">
        <f t="shared" si="59"/>
        <v/>
      </c>
      <c r="J1892" s="63" t="str">
        <f t="shared" si="60"/>
        <v/>
      </c>
    </row>
    <row r="1893" spans="9:10">
      <c r="I1893" s="62" t="str">
        <f t="shared" si="59"/>
        <v/>
      </c>
      <c r="J1893" s="63" t="str">
        <f t="shared" si="60"/>
        <v/>
      </c>
    </row>
    <row r="1894" spans="9:10">
      <c r="I1894" s="62" t="str">
        <f t="shared" si="59"/>
        <v/>
      </c>
      <c r="J1894" s="63" t="str">
        <f t="shared" si="60"/>
        <v/>
      </c>
    </row>
    <row r="1895" spans="9:10">
      <c r="I1895" s="62" t="str">
        <f t="shared" si="59"/>
        <v/>
      </c>
      <c r="J1895" s="63" t="str">
        <f t="shared" si="60"/>
        <v/>
      </c>
    </row>
    <row r="1896" spans="9:10">
      <c r="I1896" s="62" t="str">
        <f t="shared" si="59"/>
        <v/>
      </c>
      <c r="J1896" s="63" t="str">
        <f t="shared" si="60"/>
        <v/>
      </c>
    </row>
    <row r="1897" spans="9:10">
      <c r="I1897" s="62" t="str">
        <f t="shared" si="59"/>
        <v/>
      </c>
      <c r="J1897" s="63" t="str">
        <f t="shared" si="60"/>
        <v/>
      </c>
    </row>
    <row r="1898" spans="9:10">
      <c r="I1898" s="62" t="str">
        <f t="shared" si="59"/>
        <v/>
      </c>
      <c r="J1898" s="63" t="str">
        <f t="shared" si="60"/>
        <v/>
      </c>
    </row>
    <row r="1899" spans="9:10">
      <c r="I1899" s="62" t="str">
        <f t="shared" si="59"/>
        <v/>
      </c>
      <c r="J1899" s="63" t="str">
        <f t="shared" si="60"/>
        <v/>
      </c>
    </row>
    <row r="1900" spans="9:10">
      <c r="I1900" s="62" t="str">
        <f t="shared" si="59"/>
        <v/>
      </c>
      <c r="J1900" s="63" t="str">
        <f t="shared" si="60"/>
        <v/>
      </c>
    </row>
    <row r="1901" spans="9:10">
      <c r="I1901" s="62" t="str">
        <f t="shared" si="59"/>
        <v/>
      </c>
      <c r="J1901" s="63" t="str">
        <f t="shared" si="60"/>
        <v/>
      </c>
    </row>
    <row r="1902" spans="9:10">
      <c r="I1902" s="62" t="str">
        <f t="shared" si="59"/>
        <v/>
      </c>
      <c r="J1902" s="63" t="str">
        <f t="shared" si="60"/>
        <v/>
      </c>
    </row>
    <row r="1903" spans="9:10">
      <c r="I1903" s="62" t="str">
        <f t="shared" si="59"/>
        <v/>
      </c>
      <c r="J1903" s="63" t="str">
        <f t="shared" si="60"/>
        <v/>
      </c>
    </row>
    <row r="1904" spans="9:10">
      <c r="I1904" s="62" t="str">
        <f t="shared" si="59"/>
        <v/>
      </c>
      <c r="J1904" s="63" t="str">
        <f t="shared" si="60"/>
        <v/>
      </c>
    </row>
    <row r="1905" spans="9:10">
      <c r="I1905" s="62" t="str">
        <f t="shared" si="59"/>
        <v/>
      </c>
      <c r="J1905" s="63" t="str">
        <f t="shared" si="60"/>
        <v/>
      </c>
    </row>
    <row r="1906" spans="9:10">
      <c r="I1906" s="62" t="str">
        <f t="shared" si="59"/>
        <v/>
      </c>
      <c r="J1906" s="63" t="str">
        <f t="shared" si="60"/>
        <v/>
      </c>
    </row>
    <row r="1907" spans="9:10">
      <c r="I1907" s="62" t="str">
        <f t="shared" si="59"/>
        <v/>
      </c>
      <c r="J1907" s="63" t="str">
        <f t="shared" si="60"/>
        <v/>
      </c>
    </row>
    <row r="1908" spans="9:10">
      <c r="I1908" s="62" t="str">
        <f t="shared" si="59"/>
        <v/>
      </c>
      <c r="J1908" s="63" t="str">
        <f t="shared" si="60"/>
        <v/>
      </c>
    </row>
    <row r="1909" spans="9:10">
      <c r="I1909" s="62" t="str">
        <f t="shared" si="59"/>
        <v/>
      </c>
      <c r="J1909" s="63" t="str">
        <f t="shared" si="60"/>
        <v/>
      </c>
    </row>
    <row r="1910" spans="9:10">
      <c r="I1910" s="62" t="str">
        <f t="shared" si="59"/>
        <v/>
      </c>
      <c r="J1910" s="63" t="str">
        <f t="shared" si="60"/>
        <v/>
      </c>
    </row>
    <row r="1911" spans="9:10">
      <c r="I1911" s="62" t="str">
        <f t="shared" si="59"/>
        <v/>
      </c>
      <c r="J1911" s="63" t="str">
        <f t="shared" si="60"/>
        <v/>
      </c>
    </row>
    <row r="1912" spans="9:10">
      <c r="I1912" s="62" t="str">
        <f t="shared" si="59"/>
        <v/>
      </c>
      <c r="J1912" s="63" t="str">
        <f t="shared" si="60"/>
        <v/>
      </c>
    </row>
    <row r="1913" spans="9:10">
      <c r="I1913" s="62" t="str">
        <f t="shared" si="59"/>
        <v/>
      </c>
      <c r="J1913" s="63" t="str">
        <f t="shared" si="60"/>
        <v/>
      </c>
    </row>
    <row r="1914" spans="9:10">
      <c r="I1914" s="62" t="str">
        <f t="shared" si="59"/>
        <v/>
      </c>
      <c r="J1914" s="63" t="str">
        <f t="shared" si="60"/>
        <v/>
      </c>
    </row>
    <row r="1915" spans="9:10">
      <c r="I1915" s="62" t="str">
        <f t="shared" si="59"/>
        <v/>
      </c>
      <c r="J1915" s="63" t="str">
        <f t="shared" si="60"/>
        <v/>
      </c>
    </row>
    <row r="1916" spans="9:10">
      <c r="I1916" s="62" t="str">
        <f t="shared" si="59"/>
        <v/>
      </c>
      <c r="J1916" s="63" t="str">
        <f t="shared" si="60"/>
        <v/>
      </c>
    </row>
    <row r="1917" spans="9:10">
      <c r="I1917" s="62" t="str">
        <f t="shared" si="59"/>
        <v/>
      </c>
      <c r="J1917" s="63" t="str">
        <f t="shared" si="60"/>
        <v/>
      </c>
    </row>
    <row r="1918" spans="9:10">
      <c r="I1918" s="62" t="str">
        <f t="shared" si="59"/>
        <v/>
      </c>
      <c r="J1918" s="63" t="str">
        <f t="shared" si="60"/>
        <v/>
      </c>
    </row>
    <row r="1919" spans="9:10">
      <c r="I1919" s="62" t="str">
        <f t="shared" si="59"/>
        <v/>
      </c>
      <c r="J1919" s="63" t="str">
        <f t="shared" si="60"/>
        <v/>
      </c>
    </row>
    <row r="1920" spans="9:10">
      <c r="I1920" s="62" t="str">
        <f t="shared" si="59"/>
        <v/>
      </c>
      <c r="J1920" s="63" t="str">
        <f t="shared" si="60"/>
        <v/>
      </c>
    </row>
    <row r="1921" spans="9:10">
      <c r="I1921" s="62" t="str">
        <f t="shared" si="59"/>
        <v/>
      </c>
      <c r="J1921" s="63" t="str">
        <f t="shared" si="60"/>
        <v/>
      </c>
    </row>
    <row r="1922" spans="9:10">
      <c r="I1922" s="62" t="str">
        <f t="shared" si="59"/>
        <v/>
      </c>
      <c r="J1922" s="63" t="str">
        <f t="shared" si="60"/>
        <v/>
      </c>
    </row>
    <row r="1923" spans="9:10">
      <c r="I1923" s="62" t="str">
        <f t="shared" si="59"/>
        <v/>
      </c>
      <c r="J1923" s="63" t="str">
        <f t="shared" si="60"/>
        <v/>
      </c>
    </row>
    <row r="1924" spans="9:10">
      <c r="I1924" s="62" t="str">
        <f t="shared" si="59"/>
        <v/>
      </c>
      <c r="J1924" s="63" t="str">
        <f t="shared" si="60"/>
        <v/>
      </c>
    </row>
    <row r="1925" spans="9:10">
      <c r="I1925" s="62" t="str">
        <f t="shared" si="59"/>
        <v/>
      </c>
      <c r="J1925" s="63" t="str">
        <f t="shared" si="60"/>
        <v/>
      </c>
    </row>
    <row r="1926" spans="9:10">
      <c r="I1926" s="62" t="str">
        <f t="shared" si="59"/>
        <v/>
      </c>
      <c r="J1926" s="63" t="str">
        <f t="shared" si="60"/>
        <v/>
      </c>
    </row>
    <row r="1927" spans="9:10">
      <c r="I1927" s="62" t="str">
        <f t="shared" si="59"/>
        <v/>
      </c>
      <c r="J1927" s="63" t="str">
        <f t="shared" si="60"/>
        <v/>
      </c>
    </row>
    <row r="1928" spans="9:10">
      <c r="I1928" s="62" t="str">
        <f t="shared" si="59"/>
        <v/>
      </c>
      <c r="J1928" s="63" t="str">
        <f t="shared" si="60"/>
        <v/>
      </c>
    </row>
    <row r="1929" spans="9:10">
      <c r="I1929" s="62" t="str">
        <f t="shared" si="59"/>
        <v/>
      </c>
      <c r="J1929" s="63" t="str">
        <f t="shared" si="60"/>
        <v/>
      </c>
    </row>
    <row r="1930" spans="9:10">
      <c r="I1930" s="62" t="str">
        <f t="shared" si="59"/>
        <v/>
      </c>
      <c r="J1930" s="63" t="str">
        <f t="shared" si="60"/>
        <v/>
      </c>
    </row>
    <row r="1931" spans="9:10">
      <c r="I1931" s="62" t="str">
        <f t="shared" si="59"/>
        <v/>
      </c>
      <c r="J1931" s="63" t="str">
        <f t="shared" si="60"/>
        <v/>
      </c>
    </row>
    <row r="1932" spans="9:10">
      <c r="I1932" s="62" t="str">
        <f t="shared" ref="I1932:I1995" si="61">IF(B1932="","",IF(B1932="Total",I1930,IF(B1930="Total",I1930, IF(ISNUMBER(A1932),A1932,I1931))))</f>
        <v/>
      </c>
      <c r="J1932" s="63" t="str">
        <f t="shared" si="60"/>
        <v/>
      </c>
    </row>
    <row r="1933" spans="9:10">
      <c r="I1933" s="62" t="str">
        <f t="shared" si="61"/>
        <v/>
      </c>
      <c r="J1933" s="63" t="str">
        <f t="shared" si="60"/>
        <v/>
      </c>
    </row>
    <row r="1934" spans="9:10">
      <c r="I1934" s="62" t="str">
        <f t="shared" si="61"/>
        <v/>
      </c>
      <c r="J1934" s="63" t="str">
        <f t="shared" si="60"/>
        <v/>
      </c>
    </row>
    <row r="1935" spans="9:10">
      <c r="I1935" s="62" t="str">
        <f t="shared" si="61"/>
        <v/>
      </c>
      <c r="J1935" s="63" t="str">
        <f t="shared" ref="J1935:J1998" si="62">IF(B1935="","",IF(B1935="Total",J1933,IF(B1933="Total",J1933,IF(A1935="",J1934,IF(ISNUMBER(A1934),B1934,IF(ISNUMBER(A1935),B1935,J1934))))))</f>
        <v/>
      </c>
    </row>
    <row r="1936" spans="9:10">
      <c r="I1936" s="62" t="str">
        <f t="shared" si="61"/>
        <v/>
      </c>
      <c r="J1936" s="63" t="str">
        <f t="shared" si="62"/>
        <v/>
      </c>
    </row>
    <row r="1937" spans="9:10">
      <c r="I1937" s="62" t="str">
        <f t="shared" si="61"/>
        <v/>
      </c>
      <c r="J1937" s="63" t="str">
        <f t="shared" si="62"/>
        <v/>
      </c>
    </row>
    <row r="1938" spans="9:10">
      <c r="I1938" s="62" t="str">
        <f t="shared" si="61"/>
        <v/>
      </c>
      <c r="J1938" s="63" t="str">
        <f t="shared" si="62"/>
        <v/>
      </c>
    </row>
    <row r="1939" spans="9:10">
      <c r="I1939" s="62" t="str">
        <f t="shared" si="61"/>
        <v/>
      </c>
      <c r="J1939" s="63" t="str">
        <f t="shared" si="62"/>
        <v/>
      </c>
    </row>
    <row r="1940" spans="9:10">
      <c r="I1940" s="62" t="str">
        <f t="shared" si="61"/>
        <v/>
      </c>
      <c r="J1940" s="63" t="str">
        <f t="shared" si="62"/>
        <v/>
      </c>
    </row>
    <row r="1941" spans="9:10">
      <c r="I1941" s="62" t="str">
        <f t="shared" si="61"/>
        <v/>
      </c>
      <c r="J1941" s="63" t="str">
        <f t="shared" si="62"/>
        <v/>
      </c>
    </row>
    <row r="1942" spans="9:10">
      <c r="I1942" s="62" t="str">
        <f t="shared" si="61"/>
        <v/>
      </c>
      <c r="J1942" s="63" t="str">
        <f t="shared" si="62"/>
        <v/>
      </c>
    </row>
    <row r="1943" spans="9:10">
      <c r="I1943" s="62" t="str">
        <f t="shared" si="61"/>
        <v/>
      </c>
      <c r="J1943" s="63" t="str">
        <f t="shared" si="62"/>
        <v/>
      </c>
    </row>
    <row r="1944" spans="9:10">
      <c r="I1944" s="62" t="str">
        <f t="shared" si="61"/>
        <v/>
      </c>
      <c r="J1944" s="63" t="str">
        <f t="shared" si="62"/>
        <v/>
      </c>
    </row>
    <row r="1945" spans="9:10">
      <c r="I1945" s="62" t="str">
        <f t="shared" si="61"/>
        <v/>
      </c>
      <c r="J1945" s="63" t="str">
        <f t="shared" si="62"/>
        <v/>
      </c>
    </row>
    <row r="1946" spans="9:10">
      <c r="I1946" s="62" t="str">
        <f t="shared" si="61"/>
        <v/>
      </c>
      <c r="J1946" s="63" t="str">
        <f t="shared" si="62"/>
        <v/>
      </c>
    </row>
    <row r="1947" spans="9:10">
      <c r="I1947" s="62" t="str">
        <f t="shared" si="61"/>
        <v/>
      </c>
      <c r="J1947" s="63" t="str">
        <f t="shared" si="62"/>
        <v/>
      </c>
    </row>
    <row r="1948" spans="9:10">
      <c r="I1948" s="62" t="str">
        <f t="shared" si="61"/>
        <v/>
      </c>
      <c r="J1948" s="63" t="str">
        <f t="shared" si="62"/>
        <v/>
      </c>
    </row>
    <row r="1949" spans="9:10">
      <c r="I1949" s="62" t="str">
        <f t="shared" si="61"/>
        <v/>
      </c>
      <c r="J1949" s="63" t="str">
        <f t="shared" si="62"/>
        <v/>
      </c>
    </row>
    <row r="1950" spans="9:10">
      <c r="I1950" s="62" t="str">
        <f t="shared" si="61"/>
        <v/>
      </c>
      <c r="J1950" s="63" t="str">
        <f t="shared" si="62"/>
        <v/>
      </c>
    </row>
    <row r="1951" spans="9:10">
      <c r="I1951" s="62" t="str">
        <f t="shared" si="61"/>
        <v/>
      </c>
      <c r="J1951" s="63" t="str">
        <f t="shared" si="62"/>
        <v/>
      </c>
    </row>
    <row r="1952" spans="9:10">
      <c r="I1952" s="62" t="str">
        <f t="shared" si="61"/>
        <v/>
      </c>
      <c r="J1952" s="63" t="str">
        <f t="shared" si="62"/>
        <v/>
      </c>
    </row>
    <row r="1953" spans="9:10">
      <c r="I1953" s="62" t="str">
        <f t="shared" si="61"/>
        <v/>
      </c>
      <c r="J1953" s="63" t="str">
        <f t="shared" si="62"/>
        <v/>
      </c>
    </row>
    <row r="1954" spans="9:10">
      <c r="I1954" s="62" t="str">
        <f t="shared" si="61"/>
        <v/>
      </c>
      <c r="J1954" s="63" t="str">
        <f t="shared" si="62"/>
        <v/>
      </c>
    </row>
    <row r="1955" spans="9:10">
      <c r="I1955" s="62" t="str">
        <f t="shared" si="61"/>
        <v/>
      </c>
      <c r="J1955" s="63" t="str">
        <f t="shared" si="62"/>
        <v/>
      </c>
    </row>
    <row r="1956" spans="9:10">
      <c r="I1956" s="62" t="str">
        <f t="shared" si="61"/>
        <v/>
      </c>
      <c r="J1956" s="63" t="str">
        <f t="shared" si="62"/>
        <v/>
      </c>
    </row>
    <row r="1957" spans="9:10">
      <c r="I1957" s="62" t="str">
        <f t="shared" si="61"/>
        <v/>
      </c>
      <c r="J1957" s="63" t="str">
        <f t="shared" si="62"/>
        <v/>
      </c>
    </row>
    <row r="1958" spans="9:10">
      <c r="I1958" s="62" t="str">
        <f t="shared" si="61"/>
        <v/>
      </c>
      <c r="J1958" s="63" t="str">
        <f t="shared" si="62"/>
        <v/>
      </c>
    </row>
    <row r="1959" spans="9:10">
      <c r="I1959" s="62" t="str">
        <f t="shared" si="61"/>
        <v/>
      </c>
      <c r="J1959" s="63" t="str">
        <f t="shared" si="62"/>
        <v/>
      </c>
    </row>
    <row r="1960" spans="9:10">
      <c r="I1960" s="62" t="str">
        <f t="shared" si="61"/>
        <v/>
      </c>
      <c r="J1960" s="63" t="str">
        <f t="shared" si="62"/>
        <v/>
      </c>
    </row>
    <row r="1961" spans="9:10">
      <c r="I1961" s="62" t="str">
        <f t="shared" si="61"/>
        <v/>
      </c>
      <c r="J1961" s="63" t="str">
        <f t="shared" si="62"/>
        <v/>
      </c>
    </row>
    <row r="1962" spans="9:10">
      <c r="I1962" s="62" t="str">
        <f t="shared" si="61"/>
        <v/>
      </c>
      <c r="J1962" s="63" t="str">
        <f t="shared" si="62"/>
        <v/>
      </c>
    </row>
    <row r="1963" spans="9:10">
      <c r="I1963" s="62" t="str">
        <f t="shared" si="61"/>
        <v/>
      </c>
      <c r="J1963" s="63" t="str">
        <f t="shared" si="62"/>
        <v/>
      </c>
    </row>
    <row r="1964" spans="9:10">
      <c r="I1964" s="62" t="str">
        <f t="shared" si="61"/>
        <v/>
      </c>
      <c r="J1964" s="63" t="str">
        <f t="shared" si="62"/>
        <v/>
      </c>
    </row>
    <row r="1965" spans="9:10">
      <c r="I1965" s="62" t="str">
        <f t="shared" si="61"/>
        <v/>
      </c>
      <c r="J1965" s="63" t="str">
        <f t="shared" si="62"/>
        <v/>
      </c>
    </row>
    <row r="1966" spans="9:10">
      <c r="I1966" s="62" t="str">
        <f t="shared" si="61"/>
        <v/>
      </c>
      <c r="J1966" s="63" t="str">
        <f t="shared" si="62"/>
        <v/>
      </c>
    </row>
    <row r="1967" spans="9:10">
      <c r="I1967" s="62" t="str">
        <f t="shared" si="61"/>
        <v/>
      </c>
      <c r="J1967" s="63" t="str">
        <f t="shared" si="62"/>
        <v/>
      </c>
    </row>
    <row r="1968" spans="9:10">
      <c r="I1968" s="62" t="str">
        <f t="shared" si="61"/>
        <v/>
      </c>
      <c r="J1968" s="63" t="str">
        <f t="shared" si="62"/>
        <v/>
      </c>
    </row>
    <row r="1969" spans="9:10">
      <c r="I1969" s="62" t="str">
        <f t="shared" si="61"/>
        <v/>
      </c>
      <c r="J1969" s="63" t="str">
        <f t="shared" si="62"/>
        <v/>
      </c>
    </row>
    <row r="1970" spans="9:10">
      <c r="I1970" s="62" t="str">
        <f t="shared" si="61"/>
        <v/>
      </c>
      <c r="J1970" s="63" t="str">
        <f t="shared" si="62"/>
        <v/>
      </c>
    </row>
    <row r="1971" spans="9:10">
      <c r="I1971" s="62" t="str">
        <f t="shared" si="61"/>
        <v/>
      </c>
      <c r="J1971" s="63" t="str">
        <f t="shared" si="62"/>
        <v/>
      </c>
    </row>
    <row r="1972" spans="9:10">
      <c r="I1972" s="62" t="str">
        <f t="shared" si="61"/>
        <v/>
      </c>
      <c r="J1972" s="63" t="str">
        <f t="shared" si="62"/>
        <v/>
      </c>
    </row>
    <row r="1973" spans="9:10">
      <c r="I1973" s="62" t="str">
        <f t="shared" si="61"/>
        <v/>
      </c>
      <c r="J1973" s="63" t="str">
        <f t="shared" si="62"/>
        <v/>
      </c>
    </row>
    <row r="1974" spans="9:10">
      <c r="I1974" s="62" t="str">
        <f t="shared" si="61"/>
        <v/>
      </c>
      <c r="J1974" s="63" t="str">
        <f t="shared" si="62"/>
        <v/>
      </c>
    </row>
    <row r="1975" spans="9:10">
      <c r="I1975" s="62" t="str">
        <f t="shared" si="61"/>
        <v/>
      </c>
      <c r="J1975" s="63" t="str">
        <f t="shared" si="62"/>
        <v/>
      </c>
    </row>
    <row r="1976" spans="9:10">
      <c r="I1976" s="62" t="str">
        <f t="shared" si="61"/>
        <v/>
      </c>
      <c r="J1976" s="63" t="str">
        <f t="shared" si="62"/>
        <v/>
      </c>
    </row>
    <row r="1977" spans="9:10">
      <c r="I1977" s="62" t="str">
        <f t="shared" si="61"/>
        <v/>
      </c>
      <c r="J1977" s="63" t="str">
        <f t="shared" si="62"/>
        <v/>
      </c>
    </row>
    <row r="1978" spans="9:10">
      <c r="I1978" s="62" t="str">
        <f t="shared" si="61"/>
        <v/>
      </c>
      <c r="J1978" s="63" t="str">
        <f t="shared" si="62"/>
        <v/>
      </c>
    </row>
    <row r="1979" spans="9:10">
      <c r="I1979" s="62" t="str">
        <f t="shared" si="61"/>
        <v/>
      </c>
      <c r="J1979" s="63" t="str">
        <f t="shared" si="62"/>
        <v/>
      </c>
    </row>
    <row r="1980" spans="9:10">
      <c r="I1980" s="62" t="str">
        <f t="shared" si="61"/>
        <v/>
      </c>
      <c r="J1980" s="63" t="str">
        <f t="shared" si="62"/>
        <v/>
      </c>
    </row>
    <row r="1981" spans="9:10">
      <c r="I1981" s="62" t="str">
        <f t="shared" si="61"/>
        <v/>
      </c>
      <c r="J1981" s="63" t="str">
        <f t="shared" si="62"/>
        <v/>
      </c>
    </row>
    <row r="1982" spans="9:10">
      <c r="I1982" s="62" t="str">
        <f t="shared" si="61"/>
        <v/>
      </c>
      <c r="J1982" s="63" t="str">
        <f t="shared" si="62"/>
        <v/>
      </c>
    </row>
    <row r="1983" spans="9:10">
      <c r="I1983" s="62" t="str">
        <f t="shared" si="61"/>
        <v/>
      </c>
      <c r="J1983" s="63" t="str">
        <f t="shared" si="62"/>
        <v/>
      </c>
    </row>
    <row r="1984" spans="9:10">
      <c r="I1984" s="62" t="str">
        <f t="shared" si="61"/>
        <v/>
      </c>
      <c r="J1984" s="63" t="str">
        <f t="shared" si="62"/>
        <v/>
      </c>
    </row>
    <row r="1985" spans="9:10">
      <c r="I1985" s="62" t="str">
        <f t="shared" si="61"/>
        <v/>
      </c>
      <c r="J1985" s="63" t="str">
        <f t="shared" si="62"/>
        <v/>
      </c>
    </row>
    <row r="1986" spans="9:10">
      <c r="I1986" s="62" t="str">
        <f t="shared" si="61"/>
        <v/>
      </c>
      <c r="J1986" s="63" t="str">
        <f t="shared" si="62"/>
        <v/>
      </c>
    </row>
    <row r="1987" spans="9:10">
      <c r="I1987" s="62" t="str">
        <f t="shared" si="61"/>
        <v/>
      </c>
      <c r="J1987" s="63" t="str">
        <f t="shared" si="62"/>
        <v/>
      </c>
    </row>
    <row r="1988" spans="9:10">
      <c r="I1988" s="62" t="str">
        <f t="shared" si="61"/>
        <v/>
      </c>
      <c r="J1988" s="63" t="str">
        <f t="shared" si="62"/>
        <v/>
      </c>
    </row>
    <row r="1989" spans="9:10">
      <c r="I1989" s="62" t="str">
        <f t="shared" si="61"/>
        <v/>
      </c>
      <c r="J1989" s="63" t="str">
        <f t="shared" si="62"/>
        <v/>
      </c>
    </row>
    <row r="1990" spans="9:10">
      <c r="I1990" s="62" t="str">
        <f t="shared" si="61"/>
        <v/>
      </c>
      <c r="J1990" s="63" t="str">
        <f t="shared" si="62"/>
        <v/>
      </c>
    </row>
    <row r="1991" spans="9:10">
      <c r="I1991" s="62" t="str">
        <f t="shared" si="61"/>
        <v/>
      </c>
      <c r="J1991" s="63" t="str">
        <f t="shared" si="62"/>
        <v/>
      </c>
    </row>
    <row r="1992" spans="9:10">
      <c r="I1992" s="62" t="str">
        <f t="shared" si="61"/>
        <v/>
      </c>
      <c r="J1992" s="63" t="str">
        <f t="shared" si="62"/>
        <v/>
      </c>
    </row>
    <row r="1993" spans="9:10">
      <c r="I1993" s="62" t="str">
        <f t="shared" si="61"/>
        <v/>
      </c>
      <c r="J1993" s="63" t="str">
        <f t="shared" si="62"/>
        <v/>
      </c>
    </row>
    <row r="1994" spans="9:10">
      <c r="I1994" s="62" t="str">
        <f t="shared" si="61"/>
        <v/>
      </c>
      <c r="J1994" s="63" t="str">
        <f t="shared" si="62"/>
        <v/>
      </c>
    </row>
    <row r="1995" spans="9:10">
      <c r="I1995" s="62" t="str">
        <f t="shared" si="61"/>
        <v/>
      </c>
      <c r="J1995" s="63" t="str">
        <f t="shared" si="62"/>
        <v/>
      </c>
    </row>
    <row r="1996" spans="9:10">
      <c r="I1996" s="62" t="str">
        <f t="shared" ref="I1996:I2059" si="63">IF(B1996="","",IF(B1996="Total",I1994,IF(B1994="Total",I1994, IF(ISNUMBER(A1996),A1996,I1995))))</f>
        <v/>
      </c>
      <c r="J1996" s="63" t="str">
        <f t="shared" si="62"/>
        <v/>
      </c>
    </row>
    <row r="1997" spans="9:10">
      <c r="I1997" s="62" t="str">
        <f t="shared" si="63"/>
        <v/>
      </c>
      <c r="J1997" s="63" t="str">
        <f t="shared" si="62"/>
        <v/>
      </c>
    </row>
    <row r="1998" spans="9:10">
      <c r="I1998" s="62" t="str">
        <f t="shared" si="63"/>
        <v/>
      </c>
      <c r="J1998" s="63" t="str">
        <f t="shared" si="62"/>
        <v/>
      </c>
    </row>
    <row r="1999" spans="9:10">
      <c r="I1999" s="62" t="str">
        <f t="shared" si="63"/>
        <v/>
      </c>
      <c r="J1999" s="63" t="str">
        <f t="shared" ref="J1999:J2062" si="64">IF(B1999="","",IF(B1999="Total",J1997,IF(B1997="Total",J1997,IF(A1999="",J1998,IF(ISNUMBER(A1998),B1998,IF(ISNUMBER(A1999),B1999,J1998))))))</f>
        <v/>
      </c>
    </row>
    <row r="2000" spans="9:10">
      <c r="I2000" s="62" t="str">
        <f t="shared" si="63"/>
        <v/>
      </c>
      <c r="J2000" s="63" t="str">
        <f t="shared" si="64"/>
        <v/>
      </c>
    </row>
    <row r="2001" spans="9:10">
      <c r="I2001" s="62" t="str">
        <f t="shared" si="63"/>
        <v/>
      </c>
      <c r="J2001" s="63" t="str">
        <f t="shared" si="64"/>
        <v/>
      </c>
    </row>
    <row r="2002" spans="9:10">
      <c r="I2002" s="62" t="str">
        <f t="shared" si="63"/>
        <v/>
      </c>
      <c r="J2002" s="63" t="str">
        <f t="shared" si="64"/>
        <v/>
      </c>
    </row>
    <row r="2003" spans="9:10">
      <c r="I2003" s="62" t="str">
        <f t="shared" si="63"/>
        <v/>
      </c>
      <c r="J2003" s="63" t="str">
        <f t="shared" si="64"/>
        <v/>
      </c>
    </row>
    <row r="2004" spans="9:10">
      <c r="I2004" s="62" t="str">
        <f t="shared" si="63"/>
        <v/>
      </c>
      <c r="J2004" s="63" t="str">
        <f t="shared" si="64"/>
        <v/>
      </c>
    </row>
    <row r="2005" spans="9:10">
      <c r="I2005" s="62" t="str">
        <f t="shared" si="63"/>
        <v/>
      </c>
      <c r="J2005" s="63" t="str">
        <f t="shared" si="64"/>
        <v/>
      </c>
    </row>
    <row r="2006" spans="9:10">
      <c r="I2006" s="62" t="str">
        <f t="shared" si="63"/>
        <v/>
      </c>
      <c r="J2006" s="63" t="str">
        <f t="shared" si="64"/>
        <v/>
      </c>
    </row>
    <row r="2007" spans="9:10">
      <c r="I2007" s="62" t="str">
        <f t="shared" si="63"/>
        <v/>
      </c>
      <c r="J2007" s="63" t="str">
        <f t="shared" si="64"/>
        <v/>
      </c>
    </row>
    <row r="2008" spans="9:10">
      <c r="I2008" s="62" t="str">
        <f t="shared" si="63"/>
        <v/>
      </c>
      <c r="J2008" s="63" t="str">
        <f t="shared" si="64"/>
        <v/>
      </c>
    </row>
    <row r="2009" spans="9:10">
      <c r="I2009" s="62" t="str">
        <f t="shared" si="63"/>
        <v/>
      </c>
      <c r="J2009" s="63" t="str">
        <f t="shared" si="64"/>
        <v/>
      </c>
    </row>
    <row r="2010" spans="9:10">
      <c r="I2010" s="62" t="str">
        <f t="shared" si="63"/>
        <v/>
      </c>
      <c r="J2010" s="63" t="str">
        <f t="shared" si="64"/>
        <v/>
      </c>
    </row>
    <row r="2011" spans="9:10">
      <c r="I2011" s="62" t="str">
        <f t="shared" si="63"/>
        <v/>
      </c>
      <c r="J2011" s="63" t="str">
        <f t="shared" si="64"/>
        <v/>
      </c>
    </row>
    <row r="2012" spans="9:10">
      <c r="I2012" s="62" t="str">
        <f t="shared" si="63"/>
        <v/>
      </c>
      <c r="J2012" s="63" t="str">
        <f t="shared" si="64"/>
        <v/>
      </c>
    </row>
    <row r="2013" spans="9:10">
      <c r="I2013" s="62" t="str">
        <f t="shared" si="63"/>
        <v/>
      </c>
      <c r="J2013" s="63" t="str">
        <f t="shared" si="64"/>
        <v/>
      </c>
    </row>
    <row r="2014" spans="9:10">
      <c r="I2014" s="62" t="str">
        <f t="shared" si="63"/>
        <v/>
      </c>
      <c r="J2014" s="63" t="str">
        <f t="shared" si="64"/>
        <v/>
      </c>
    </row>
    <row r="2015" spans="9:10">
      <c r="I2015" s="62" t="str">
        <f t="shared" si="63"/>
        <v/>
      </c>
      <c r="J2015" s="63" t="str">
        <f t="shared" si="64"/>
        <v/>
      </c>
    </row>
    <row r="2016" spans="9:10">
      <c r="I2016" s="62" t="str">
        <f t="shared" si="63"/>
        <v/>
      </c>
      <c r="J2016" s="63" t="str">
        <f t="shared" si="64"/>
        <v/>
      </c>
    </row>
    <row r="2017" spans="9:10">
      <c r="I2017" s="62" t="str">
        <f t="shared" si="63"/>
        <v/>
      </c>
      <c r="J2017" s="63" t="str">
        <f t="shared" si="64"/>
        <v/>
      </c>
    </row>
    <row r="2018" spans="9:10">
      <c r="I2018" s="62" t="str">
        <f t="shared" si="63"/>
        <v/>
      </c>
      <c r="J2018" s="63" t="str">
        <f t="shared" si="64"/>
        <v/>
      </c>
    </row>
    <row r="2019" spans="9:10">
      <c r="I2019" s="62" t="str">
        <f t="shared" si="63"/>
        <v/>
      </c>
      <c r="J2019" s="63" t="str">
        <f t="shared" si="64"/>
        <v/>
      </c>
    </row>
    <row r="2020" spans="9:10">
      <c r="I2020" s="62" t="str">
        <f t="shared" si="63"/>
        <v/>
      </c>
      <c r="J2020" s="63" t="str">
        <f t="shared" si="64"/>
        <v/>
      </c>
    </row>
    <row r="2021" spans="9:10">
      <c r="I2021" s="62" t="str">
        <f t="shared" si="63"/>
        <v/>
      </c>
      <c r="J2021" s="63" t="str">
        <f t="shared" si="64"/>
        <v/>
      </c>
    </row>
    <row r="2022" spans="9:10">
      <c r="I2022" s="62" t="str">
        <f t="shared" si="63"/>
        <v/>
      </c>
      <c r="J2022" s="63" t="str">
        <f t="shared" si="64"/>
        <v/>
      </c>
    </row>
    <row r="2023" spans="9:10">
      <c r="I2023" s="62" t="str">
        <f t="shared" si="63"/>
        <v/>
      </c>
      <c r="J2023" s="63" t="str">
        <f t="shared" si="64"/>
        <v/>
      </c>
    </row>
    <row r="2024" spans="9:10">
      <c r="I2024" s="62" t="str">
        <f t="shared" si="63"/>
        <v/>
      </c>
      <c r="J2024" s="63" t="str">
        <f t="shared" si="64"/>
        <v/>
      </c>
    </row>
    <row r="2025" spans="9:10">
      <c r="I2025" s="62" t="str">
        <f t="shared" si="63"/>
        <v/>
      </c>
      <c r="J2025" s="63" t="str">
        <f t="shared" si="64"/>
        <v/>
      </c>
    </row>
    <row r="2026" spans="9:10">
      <c r="I2026" s="62" t="str">
        <f t="shared" si="63"/>
        <v/>
      </c>
      <c r="J2026" s="63" t="str">
        <f t="shared" si="64"/>
        <v/>
      </c>
    </row>
    <row r="2027" spans="9:10">
      <c r="I2027" s="62" t="str">
        <f t="shared" si="63"/>
        <v/>
      </c>
      <c r="J2027" s="63" t="str">
        <f t="shared" si="64"/>
        <v/>
      </c>
    </row>
    <row r="2028" spans="9:10">
      <c r="I2028" s="62" t="str">
        <f t="shared" si="63"/>
        <v/>
      </c>
      <c r="J2028" s="63" t="str">
        <f t="shared" si="64"/>
        <v/>
      </c>
    </row>
    <row r="2029" spans="9:10">
      <c r="I2029" s="62" t="str">
        <f t="shared" si="63"/>
        <v/>
      </c>
      <c r="J2029" s="63" t="str">
        <f t="shared" si="64"/>
        <v/>
      </c>
    </row>
    <row r="2030" spans="9:10">
      <c r="I2030" s="62" t="str">
        <f t="shared" si="63"/>
        <v/>
      </c>
      <c r="J2030" s="63" t="str">
        <f t="shared" si="64"/>
        <v/>
      </c>
    </row>
    <row r="2031" spans="9:10">
      <c r="I2031" s="62" t="str">
        <f t="shared" si="63"/>
        <v/>
      </c>
      <c r="J2031" s="63" t="str">
        <f t="shared" si="64"/>
        <v/>
      </c>
    </row>
    <row r="2032" spans="9:10">
      <c r="I2032" s="62" t="str">
        <f t="shared" si="63"/>
        <v/>
      </c>
      <c r="J2032" s="63" t="str">
        <f t="shared" si="64"/>
        <v/>
      </c>
    </row>
    <row r="2033" spans="9:10">
      <c r="I2033" s="62" t="str">
        <f t="shared" si="63"/>
        <v/>
      </c>
      <c r="J2033" s="63" t="str">
        <f t="shared" si="64"/>
        <v/>
      </c>
    </row>
    <row r="2034" spans="9:10">
      <c r="I2034" s="62" t="str">
        <f t="shared" si="63"/>
        <v/>
      </c>
      <c r="J2034" s="63" t="str">
        <f t="shared" si="64"/>
        <v/>
      </c>
    </row>
    <row r="2035" spans="9:10">
      <c r="I2035" s="62" t="str">
        <f t="shared" si="63"/>
        <v/>
      </c>
      <c r="J2035" s="63" t="str">
        <f t="shared" si="64"/>
        <v/>
      </c>
    </row>
    <row r="2036" spans="9:10">
      <c r="I2036" s="62" t="str">
        <f t="shared" si="63"/>
        <v/>
      </c>
      <c r="J2036" s="63" t="str">
        <f t="shared" si="64"/>
        <v/>
      </c>
    </row>
    <row r="2037" spans="9:10">
      <c r="I2037" s="62" t="str">
        <f t="shared" si="63"/>
        <v/>
      </c>
      <c r="J2037" s="63" t="str">
        <f t="shared" si="64"/>
        <v/>
      </c>
    </row>
    <row r="2038" spans="9:10">
      <c r="I2038" s="62" t="str">
        <f t="shared" si="63"/>
        <v/>
      </c>
      <c r="J2038" s="63" t="str">
        <f t="shared" si="64"/>
        <v/>
      </c>
    </row>
    <row r="2039" spans="9:10">
      <c r="I2039" s="62" t="str">
        <f t="shared" si="63"/>
        <v/>
      </c>
      <c r="J2039" s="63" t="str">
        <f t="shared" si="64"/>
        <v/>
      </c>
    </row>
    <row r="2040" spans="9:10">
      <c r="I2040" s="62" t="str">
        <f t="shared" si="63"/>
        <v/>
      </c>
      <c r="J2040" s="63" t="str">
        <f t="shared" si="64"/>
        <v/>
      </c>
    </row>
    <row r="2041" spans="9:10">
      <c r="I2041" s="62" t="str">
        <f t="shared" si="63"/>
        <v/>
      </c>
      <c r="J2041" s="63" t="str">
        <f t="shared" si="64"/>
        <v/>
      </c>
    </row>
    <row r="2042" spans="9:10">
      <c r="I2042" s="62" t="str">
        <f t="shared" si="63"/>
        <v/>
      </c>
      <c r="J2042" s="63" t="str">
        <f t="shared" si="64"/>
        <v/>
      </c>
    </row>
    <row r="2043" spans="9:10">
      <c r="I2043" s="62" t="str">
        <f t="shared" si="63"/>
        <v/>
      </c>
      <c r="J2043" s="63" t="str">
        <f t="shared" si="64"/>
        <v/>
      </c>
    </row>
    <row r="2044" spans="9:10">
      <c r="I2044" s="62" t="str">
        <f t="shared" si="63"/>
        <v/>
      </c>
      <c r="J2044" s="63" t="str">
        <f t="shared" si="64"/>
        <v/>
      </c>
    </row>
    <row r="2045" spans="9:10">
      <c r="I2045" s="62" t="str">
        <f t="shared" si="63"/>
        <v/>
      </c>
      <c r="J2045" s="63" t="str">
        <f t="shared" si="64"/>
        <v/>
      </c>
    </row>
    <row r="2046" spans="9:10">
      <c r="I2046" s="62" t="str">
        <f t="shared" si="63"/>
        <v/>
      </c>
      <c r="J2046" s="63" t="str">
        <f t="shared" si="64"/>
        <v/>
      </c>
    </row>
    <row r="2047" spans="9:10">
      <c r="I2047" s="62" t="str">
        <f t="shared" si="63"/>
        <v/>
      </c>
      <c r="J2047" s="63" t="str">
        <f t="shared" si="64"/>
        <v/>
      </c>
    </row>
    <row r="2048" spans="9:10">
      <c r="I2048" s="62" t="str">
        <f t="shared" si="63"/>
        <v/>
      </c>
      <c r="J2048" s="63" t="str">
        <f t="shared" si="64"/>
        <v/>
      </c>
    </row>
    <row r="2049" spans="9:10">
      <c r="I2049" s="62" t="str">
        <f t="shared" si="63"/>
        <v/>
      </c>
      <c r="J2049" s="63" t="str">
        <f t="shared" si="64"/>
        <v/>
      </c>
    </row>
    <row r="2050" spans="9:10">
      <c r="I2050" s="62" t="str">
        <f t="shared" si="63"/>
        <v/>
      </c>
      <c r="J2050" s="63" t="str">
        <f t="shared" si="64"/>
        <v/>
      </c>
    </row>
    <row r="2051" spans="9:10">
      <c r="I2051" s="62" t="str">
        <f t="shared" si="63"/>
        <v/>
      </c>
      <c r="J2051" s="63" t="str">
        <f t="shared" si="64"/>
        <v/>
      </c>
    </row>
    <row r="2052" spans="9:10">
      <c r="I2052" s="62" t="str">
        <f t="shared" si="63"/>
        <v/>
      </c>
      <c r="J2052" s="63" t="str">
        <f t="shared" si="64"/>
        <v/>
      </c>
    </row>
    <row r="2053" spans="9:10">
      <c r="I2053" s="62" t="str">
        <f t="shared" si="63"/>
        <v/>
      </c>
      <c r="J2053" s="63" t="str">
        <f t="shared" si="64"/>
        <v/>
      </c>
    </row>
    <row r="2054" spans="9:10">
      <c r="I2054" s="62" t="str">
        <f t="shared" si="63"/>
        <v/>
      </c>
      <c r="J2054" s="63" t="str">
        <f t="shared" si="64"/>
        <v/>
      </c>
    </row>
    <row r="2055" spans="9:10">
      <c r="I2055" s="62" t="str">
        <f t="shared" si="63"/>
        <v/>
      </c>
      <c r="J2055" s="63" t="str">
        <f t="shared" si="64"/>
        <v/>
      </c>
    </row>
    <row r="2056" spans="9:10">
      <c r="I2056" s="62" t="str">
        <f t="shared" si="63"/>
        <v/>
      </c>
      <c r="J2056" s="63" t="str">
        <f t="shared" si="64"/>
        <v/>
      </c>
    </row>
    <row r="2057" spans="9:10">
      <c r="I2057" s="62" t="str">
        <f t="shared" si="63"/>
        <v/>
      </c>
      <c r="J2057" s="63" t="str">
        <f t="shared" si="64"/>
        <v/>
      </c>
    </row>
    <row r="2058" spans="9:10">
      <c r="I2058" s="62" t="str">
        <f t="shared" si="63"/>
        <v/>
      </c>
      <c r="J2058" s="63" t="str">
        <f t="shared" si="64"/>
        <v/>
      </c>
    </row>
    <row r="2059" spans="9:10">
      <c r="I2059" s="62" t="str">
        <f t="shared" si="63"/>
        <v/>
      </c>
      <c r="J2059" s="63" t="str">
        <f t="shared" si="64"/>
        <v/>
      </c>
    </row>
    <row r="2060" spans="9:10">
      <c r="I2060" s="62" t="str">
        <f t="shared" ref="I2060:I2123" si="65">IF(B2060="","",IF(B2060="Total",I2058,IF(B2058="Total",I2058, IF(ISNUMBER(A2060),A2060,I2059))))</f>
        <v/>
      </c>
      <c r="J2060" s="63" t="str">
        <f t="shared" si="64"/>
        <v/>
      </c>
    </row>
    <row r="2061" spans="9:10">
      <c r="I2061" s="62" t="str">
        <f t="shared" si="65"/>
        <v/>
      </c>
      <c r="J2061" s="63" t="str">
        <f t="shared" si="64"/>
        <v/>
      </c>
    </row>
    <row r="2062" spans="9:10">
      <c r="I2062" s="62" t="str">
        <f t="shared" si="65"/>
        <v/>
      </c>
      <c r="J2062" s="63" t="str">
        <f t="shared" si="64"/>
        <v/>
      </c>
    </row>
    <row r="2063" spans="9:10">
      <c r="I2063" s="62" t="str">
        <f t="shared" si="65"/>
        <v/>
      </c>
      <c r="J2063" s="63" t="str">
        <f t="shared" ref="J2063:J2126" si="66">IF(B2063="","",IF(B2063="Total",J2061,IF(B2061="Total",J2061,IF(A2063="",J2062,IF(ISNUMBER(A2062),B2062,IF(ISNUMBER(A2063),B2063,J2062))))))</f>
        <v/>
      </c>
    </row>
    <row r="2064" spans="9:10">
      <c r="I2064" s="62" t="str">
        <f t="shared" si="65"/>
        <v/>
      </c>
      <c r="J2064" s="63" t="str">
        <f t="shared" si="66"/>
        <v/>
      </c>
    </row>
    <row r="2065" spans="9:10">
      <c r="I2065" s="62" t="str">
        <f t="shared" si="65"/>
        <v/>
      </c>
      <c r="J2065" s="63" t="str">
        <f t="shared" si="66"/>
        <v/>
      </c>
    </row>
    <row r="2066" spans="9:10">
      <c r="I2066" s="62" t="str">
        <f t="shared" si="65"/>
        <v/>
      </c>
      <c r="J2066" s="63" t="str">
        <f t="shared" si="66"/>
        <v/>
      </c>
    </row>
    <row r="2067" spans="9:10">
      <c r="I2067" s="62" t="str">
        <f t="shared" si="65"/>
        <v/>
      </c>
      <c r="J2067" s="63" t="str">
        <f t="shared" si="66"/>
        <v/>
      </c>
    </row>
    <row r="2068" spans="9:10">
      <c r="I2068" s="62" t="str">
        <f t="shared" si="65"/>
        <v/>
      </c>
      <c r="J2068" s="63" t="str">
        <f t="shared" si="66"/>
        <v/>
      </c>
    </row>
    <row r="2069" spans="9:10">
      <c r="I2069" s="62" t="str">
        <f t="shared" si="65"/>
        <v/>
      </c>
      <c r="J2069" s="63" t="str">
        <f t="shared" si="66"/>
        <v/>
      </c>
    </row>
    <row r="2070" spans="9:10">
      <c r="I2070" s="62" t="str">
        <f t="shared" si="65"/>
        <v/>
      </c>
      <c r="J2070" s="63" t="str">
        <f t="shared" si="66"/>
        <v/>
      </c>
    </row>
    <row r="2071" spans="9:10">
      <c r="I2071" s="62" t="str">
        <f t="shared" si="65"/>
        <v/>
      </c>
      <c r="J2071" s="63" t="str">
        <f t="shared" si="66"/>
        <v/>
      </c>
    </row>
    <row r="2072" spans="9:10">
      <c r="I2072" s="62" t="str">
        <f t="shared" si="65"/>
        <v/>
      </c>
      <c r="J2072" s="63" t="str">
        <f t="shared" si="66"/>
        <v/>
      </c>
    </row>
    <row r="2073" spans="9:10">
      <c r="I2073" s="62" t="str">
        <f t="shared" si="65"/>
        <v/>
      </c>
      <c r="J2073" s="63" t="str">
        <f t="shared" si="66"/>
        <v/>
      </c>
    </row>
    <row r="2074" spans="9:10">
      <c r="I2074" s="62" t="str">
        <f t="shared" si="65"/>
        <v/>
      </c>
      <c r="J2074" s="63" t="str">
        <f t="shared" si="66"/>
        <v/>
      </c>
    </row>
    <row r="2075" spans="9:10">
      <c r="I2075" s="62" t="str">
        <f t="shared" si="65"/>
        <v/>
      </c>
      <c r="J2075" s="63" t="str">
        <f t="shared" si="66"/>
        <v/>
      </c>
    </row>
    <row r="2076" spans="9:10">
      <c r="I2076" s="62" t="str">
        <f t="shared" si="65"/>
        <v/>
      </c>
      <c r="J2076" s="63" t="str">
        <f t="shared" si="66"/>
        <v/>
      </c>
    </row>
    <row r="2077" spans="9:10">
      <c r="I2077" s="62" t="str">
        <f t="shared" si="65"/>
        <v/>
      </c>
      <c r="J2077" s="63" t="str">
        <f t="shared" si="66"/>
        <v/>
      </c>
    </row>
    <row r="2078" spans="9:10">
      <c r="I2078" s="62" t="str">
        <f t="shared" si="65"/>
        <v/>
      </c>
      <c r="J2078" s="63" t="str">
        <f t="shared" si="66"/>
        <v/>
      </c>
    </row>
    <row r="2079" spans="9:10">
      <c r="I2079" s="62" t="str">
        <f t="shared" si="65"/>
        <v/>
      </c>
      <c r="J2079" s="63" t="str">
        <f t="shared" si="66"/>
        <v/>
      </c>
    </row>
    <row r="2080" spans="9:10">
      <c r="I2080" s="62" t="str">
        <f t="shared" si="65"/>
        <v/>
      </c>
      <c r="J2080" s="63" t="str">
        <f t="shared" si="66"/>
        <v/>
      </c>
    </row>
    <row r="2081" spans="9:10">
      <c r="I2081" s="62" t="str">
        <f t="shared" si="65"/>
        <v/>
      </c>
      <c r="J2081" s="63" t="str">
        <f t="shared" si="66"/>
        <v/>
      </c>
    </row>
    <row r="2082" spans="9:10">
      <c r="I2082" s="62" t="str">
        <f t="shared" si="65"/>
        <v/>
      </c>
      <c r="J2082" s="63" t="str">
        <f t="shared" si="66"/>
        <v/>
      </c>
    </row>
    <row r="2083" spans="9:10">
      <c r="I2083" s="62" t="str">
        <f t="shared" si="65"/>
        <v/>
      </c>
      <c r="J2083" s="63" t="str">
        <f t="shared" si="66"/>
        <v/>
      </c>
    </row>
    <row r="2084" spans="9:10">
      <c r="I2084" s="62" t="str">
        <f t="shared" si="65"/>
        <v/>
      </c>
      <c r="J2084" s="63" t="str">
        <f t="shared" si="66"/>
        <v/>
      </c>
    </row>
    <row r="2085" spans="9:10">
      <c r="I2085" s="62" t="str">
        <f t="shared" si="65"/>
        <v/>
      </c>
      <c r="J2085" s="63" t="str">
        <f t="shared" si="66"/>
        <v/>
      </c>
    </row>
    <row r="2086" spans="9:10">
      <c r="I2086" s="62" t="str">
        <f t="shared" si="65"/>
        <v/>
      </c>
      <c r="J2086" s="63" t="str">
        <f t="shared" si="66"/>
        <v/>
      </c>
    </row>
    <row r="2087" spans="9:10">
      <c r="I2087" s="62" t="str">
        <f t="shared" si="65"/>
        <v/>
      </c>
      <c r="J2087" s="63" t="str">
        <f t="shared" si="66"/>
        <v/>
      </c>
    </row>
    <row r="2088" spans="9:10">
      <c r="I2088" s="62" t="str">
        <f t="shared" si="65"/>
        <v/>
      </c>
      <c r="J2088" s="63" t="str">
        <f t="shared" si="66"/>
        <v/>
      </c>
    </row>
    <row r="2089" spans="9:10">
      <c r="I2089" s="62" t="str">
        <f t="shared" si="65"/>
        <v/>
      </c>
      <c r="J2089" s="63" t="str">
        <f t="shared" si="66"/>
        <v/>
      </c>
    </row>
    <row r="2090" spans="9:10">
      <c r="I2090" s="62" t="str">
        <f t="shared" si="65"/>
        <v/>
      </c>
      <c r="J2090" s="63" t="str">
        <f t="shared" si="66"/>
        <v/>
      </c>
    </row>
    <row r="2091" spans="9:10">
      <c r="I2091" s="62" t="str">
        <f t="shared" si="65"/>
        <v/>
      </c>
      <c r="J2091" s="63" t="str">
        <f t="shared" si="66"/>
        <v/>
      </c>
    </row>
    <row r="2092" spans="9:10">
      <c r="I2092" s="62" t="str">
        <f t="shared" si="65"/>
        <v/>
      </c>
      <c r="J2092" s="63" t="str">
        <f t="shared" si="66"/>
        <v/>
      </c>
    </row>
    <row r="2093" spans="9:10">
      <c r="I2093" s="62" t="str">
        <f t="shared" si="65"/>
        <v/>
      </c>
      <c r="J2093" s="63" t="str">
        <f t="shared" si="66"/>
        <v/>
      </c>
    </row>
    <row r="2094" spans="9:10">
      <c r="I2094" s="62" t="str">
        <f t="shared" si="65"/>
        <v/>
      </c>
      <c r="J2094" s="63" t="str">
        <f t="shared" si="66"/>
        <v/>
      </c>
    </row>
    <row r="2095" spans="9:10">
      <c r="I2095" s="62" t="str">
        <f t="shared" si="65"/>
        <v/>
      </c>
      <c r="J2095" s="63" t="str">
        <f t="shared" si="66"/>
        <v/>
      </c>
    </row>
    <row r="2096" spans="9:10">
      <c r="I2096" s="62" t="str">
        <f t="shared" si="65"/>
        <v/>
      </c>
      <c r="J2096" s="63" t="str">
        <f t="shared" si="66"/>
        <v/>
      </c>
    </row>
    <row r="2097" spans="9:10">
      <c r="I2097" s="62" t="str">
        <f t="shared" si="65"/>
        <v/>
      </c>
      <c r="J2097" s="63" t="str">
        <f t="shared" si="66"/>
        <v/>
      </c>
    </row>
    <row r="2098" spans="9:10">
      <c r="I2098" s="62" t="str">
        <f t="shared" si="65"/>
        <v/>
      </c>
      <c r="J2098" s="63" t="str">
        <f t="shared" si="66"/>
        <v/>
      </c>
    </row>
    <row r="2099" spans="9:10">
      <c r="I2099" s="62" t="str">
        <f t="shared" si="65"/>
        <v/>
      </c>
      <c r="J2099" s="63" t="str">
        <f t="shared" si="66"/>
        <v/>
      </c>
    </row>
    <row r="2100" spans="9:10">
      <c r="I2100" s="62" t="str">
        <f t="shared" si="65"/>
        <v/>
      </c>
      <c r="J2100" s="63" t="str">
        <f t="shared" si="66"/>
        <v/>
      </c>
    </row>
    <row r="2101" spans="9:10">
      <c r="I2101" s="62" t="str">
        <f t="shared" si="65"/>
        <v/>
      </c>
      <c r="J2101" s="63" t="str">
        <f t="shared" si="66"/>
        <v/>
      </c>
    </row>
    <row r="2102" spans="9:10">
      <c r="I2102" s="62" t="str">
        <f t="shared" si="65"/>
        <v/>
      </c>
      <c r="J2102" s="63" t="str">
        <f t="shared" si="66"/>
        <v/>
      </c>
    </row>
    <row r="2103" spans="9:10">
      <c r="I2103" s="62" t="str">
        <f t="shared" si="65"/>
        <v/>
      </c>
      <c r="J2103" s="63" t="str">
        <f t="shared" si="66"/>
        <v/>
      </c>
    </row>
    <row r="2104" spans="9:10">
      <c r="I2104" s="62" t="str">
        <f t="shared" si="65"/>
        <v/>
      </c>
      <c r="J2104" s="63" t="str">
        <f t="shared" si="66"/>
        <v/>
      </c>
    </row>
    <row r="2105" spans="9:10">
      <c r="I2105" s="62" t="str">
        <f t="shared" si="65"/>
        <v/>
      </c>
      <c r="J2105" s="63" t="str">
        <f t="shared" si="66"/>
        <v/>
      </c>
    </row>
    <row r="2106" spans="9:10">
      <c r="I2106" s="62" t="str">
        <f t="shared" si="65"/>
        <v/>
      </c>
      <c r="J2106" s="63" t="str">
        <f t="shared" si="66"/>
        <v/>
      </c>
    </row>
    <row r="2107" spans="9:10">
      <c r="I2107" s="62" t="str">
        <f t="shared" si="65"/>
        <v/>
      </c>
      <c r="J2107" s="63" t="str">
        <f t="shared" si="66"/>
        <v/>
      </c>
    </row>
    <row r="2108" spans="9:10">
      <c r="I2108" s="62" t="str">
        <f t="shared" si="65"/>
        <v/>
      </c>
      <c r="J2108" s="63" t="str">
        <f t="shared" si="66"/>
        <v/>
      </c>
    </row>
    <row r="2109" spans="9:10">
      <c r="I2109" s="62" t="str">
        <f t="shared" si="65"/>
        <v/>
      </c>
      <c r="J2109" s="63" t="str">
        <f t="shared" si="66"/>
        <v/>
      </c>
    </row>
    <row r="2110" spans="9:10">
      <c r="I2110" s="62" t="str">
        <f t="shared" si="65"/>
        <v/>
      </c>
      <c r="J2110" s="63" t="str">
        <f t="shared" si="66"/>
        <v/>
      </c>
    </row>
    <row r="2111" spans="9:10">
      <c r="I2111" s="62" t="str">
        <f t="shared" si="65"/>
        <v/>
      </c>
      <c r="J2111" s="63" t="str">
        <f t="shared" si="66"/>
        <v/>
      </c>
    </row>
    <row r="2112" spans="9:10">
      <c r="I2112" s="62" t="str">
        <f t="shared" si="65"/>
        <v/>
      </c>
      <c r="J2112" s="63" t="str">
        <f t="shared" si="66"/>
        <v/>
      </c>
    </row>
    <row r="2113" spans="9:10">
      <c r="I2113" s="62" t="str">
        <f t="shared" si="65"/>
        <v/>
      </c>
      <c r="J2113" s="63" t="str">
        <f t="shared" si="66"/>
        <v/>
      </c>
    </row>
    <row r="2114" spans="9:10">
      <c r="I2114" s="62" t="str">
        <f t="shared" si="65"/>
        <v/>
      </c>
      <c r="J2114" s="63" t="str">
        <f t="shared" si="66"/>
        <v/>
      </c>
    </row>
    <row r="2115" spans="9:10">
      <c r="I2115" s="62" t="str">
        <f t="shared" si="65"/>
        <v/>
      </c>
      <c r="J2115" s="63" t="str">
        <f t="shared" si="66"/>
        <v/>
      </c>
    </row>
    <row r="2116" spans="9:10">
      <c r="I2116" s="62" t="str">
        <f t="shared" si="65"/>
        <v/>
      </c>
      <c r="J2116" s="63" t="str">
        <f t="shared" si="66"/>
        <v/>
      </c>
    </row>
    <row r="2117" spans="9:10">
      <c r="I2117" s="62" t="str">
        <f t="shared" si="65"/>
        <v/>
      </c>
      <c r="J2117" s="63" t="str">
        <f t="shared" si="66"/>
        <v/>
      </c>
    </row>
    <row r="2118" spans="9:10">
      <c r="I2118" s="62" t="str">
        <f t="shared" si="65"/>
        <v/>
      </c>
      <c r="J2118" s="63" t="str">
        <f t="shared" si="66"/>
        <v/>
      </c>
    </row>
    <row r="2119" spans="9:10">
      <c r="I2119" s="62" t="str">
        <f t="shared" si="65"/>
        <v/>
      </c>
      <c r="J2119" s="63" t="str">
        <f t="shared" si="66"/>
        <v/>
      </c>
    </row>
    <row r="2120" spans="9:10">
      <c r="I2120" s="62" t="str">
        <f t="shared" si="65"/>
        <v/>
      </c>
      <c r="J2120" s="63" t="str">
        <f t="shared" si="66"/>
        <v/>
      </c>
    </row>
    <row r="2121" spans="9:10">
      <c r="I2121" s="62" t="str">
        <f t="shared" si="65"/>
        <v/>
      </c>
      <c r="J2121" s="63" t="str">
        <f t="shared" si="66"/>
        <v/>
      </c>
    </row>
    <row r="2122" spans="9:10">
      <c r="I2122" s="62" t="str">
        <f t="shared" si="65"/>
        <v/>
      </c>
      <c r="J2122" s="63" t="str">
        <f t="shared" si="66"/>
        <v/>
      </c>
    </row>
    <row r="2123" spans="9:10">
      <c r="I2123" s="62" t="str">
        <f t="shared" si="65"/>
        <v/>
      </c>
      <c r="J2123" s="63" t="str">
        <f t="shared" si="66"/>
        <v/>
      </c>
    </row>
    <row r="2124" spans="9:10">
      <c r="I2124" s="62" t="str">
        <f t="shared" ref="I2124:I2187" si="67">IF(B2124="","",IF(B2124="Total",I2122,IF(B2122="Total",I2122, IF(ISNUMBER(A2124),A2124,I2123))))</f>
        <v/>
      </c>
      <c r="J2124" s="63" t="str">
        <f t="shared" si="66"/>
        <v/>
      </c>
    </row>
    <row r="2125" spans="9:10">
      <c r="I2125" s="62" t="str">
        <f t="shared" si="67"/>
        <v/>
      </c>
      <c r="J2125" s="63" t="str">
        <f t="shared" si="66"/>
        <v/>
      </c>
    </row>
    <row r="2126" spans="9:10">
      <c r="I2126" s="62" t="str">
        <f t="shared" si="67"/>
        <v/>
      </c>
      <c r="J2126" s="63" t="str">
        <f t="shared" si="66"/>
        <v/>
      </c>
    </row>
    <row r="2127" spans="9:10">
      <c r="I2127" s="62" t="str">
        <f t="shared" si="67"/>
        <v/>
      </c>
      <c r="J2127" s="63" t="str">
        <f t="shared" ref="J2127:J2190" si="68">IF(B2127="","",IF(B2127="Total",J2125,IF(B2125="Total",J2125,IF(A2127="",J2126,IF(ISNUMBER(A2126),B2126,IF(ISNUMBER(A2127),B2127,J2126))))))</f>
        <v/>
      </c>
    </row>
    <row r="2128" spans="9:10">
      <c r="I2128" s="62" t="str">
        <f t="shared" si="67"/>
        <v/>
      </c>
      <c r="J2128" s="63" t="str">
        <f t="shared" si="68"/>
        <v/>
      </c>
    </row>
    <row r="2129" spans="9:10">
      <c r="I2129" s="62" t="str">
        <f t="shared" si="67"/>
        <v/>
      </c>
      <c r="J2129" s="63" t="str">
        <f t="shared" si="68"/>
        <v/>
      </c>
    </row>
    <row r="2130" spans="9:10">
      <c r="I2130" s="62" t="str">
        <f t="shared" si="67"/>
        <v/>
      </c>
      <c r="J2130" s="63" t="str">
        <f t="shared" si="68"/>
        <v/>
      </c>
    </row>
    <row r="2131" spans="9:10">
      <c r="I2131" s="62" t="str">
        <f t="shared" si="67"/>
        <v/>
      </c>
      <c r="J2131" s="63" t="str">
        <f t="shared" si="68"/>
        <v/>
      </c>
    </row>
    <row r="2132" spans="9:10">
      <c r="I2132" s="62" t="str">
        <f t="shared" si="67"/>
        <v/>
      </c>
      <c r="J2132" s="63" t="str">
        <f t="shared" si="68"/>
        <v/>
      </c>
    </row>
    <row r="2133" spans="9:10">
      <c r="I2133" s="62" t="str">
        <f t="shared" si="67"/>
        <v/>
      </c>
      <c r="J2133" s="63" t="str">
        <f t="shared" si="68"/>
        <v/>
      </c>
    </row>
    <row r="2134" spans="9:10">
      <c r="I2134" s="62" t="str">
        <f t="shared" si="67"/>
        <v/>
      </c>
      <c r="J2134" s="63" t="str">
        <f t="shared" si="68"/>
        <v/>
      </c>
    </row>
    <row r="2135" spans="9:10">
      <c r="I2135" s="62" t="str">
        <f t="shared" si="67"/>
        <v/>
      </c>
      <c r="J2135" s="63" t="str">
        <f t="shared" si="68"/>
        <v/>
      </c>
    </row>
    <row r="2136" spans="9:10">
      <c r="I2136" s="62" t="str">
        <f t="shared" si="67"/>
        <v/>
      </c>
      <c r="J2136" s="63" t="str">
        <f t="shared" si="68"/>
        <v/>
      </c>
    </row>
    <row r="2137" spans="9:10">
      <c r="I2137" s="62" t="str">
        <f t="shared" si="67"/>
        <v/>
      </c>
      <c r="J2137" s="63" t="str">
        <f t="shared" si="68"/>
        <v/>
      </c>
    </row>
    <row r="2138" spans="9:10">
      <c r="I2138" s="62" t="str">
        <f t="shared" si="67"/>
        <v/>
      </c>
      <c r="J2138" s="63" t="str">
        <f t="shared" si="68"/>
        <v/>
      </c>
    </row>
    <row r="2139" spans="9:10">
      <c r="I2139" s="62" t="str">
        <f t="shared" si="67"/>
        <v/>
      </c>
      <c r="J2139" s="63" t="str">
        <f t="shared" si="68"/>
        <v/>
      </c>
    </row>
    <row r="2140" spans="9:10">
      <c r="I2140" s="62" t="str">
        <f t="shared" si="67"/>
        <v/>
      </c>
      <c r="J2140" s="63" t="str">
        <f t="shared" si="68"/>
        <v/>
      </c>
    </row>
    <row r="2141" spans="9:10">
      <c r="I2141" s="62" t="str">
        <f t="shared" si="67"/>
        <v/>
      </c>
      <c r="J2141" s="63" t="str">
        <f t="shared" si="68"/>
        <v/>
      </c>
    </row>
    <row r="2142" spans="9:10">
      <c r="I2142" s="62" t="str">
        <f t="shared" si="67"/>
        <v/>
      </c>
      <c r="J2142" s="63" t="str">
        <f t="shared" si="68"/>
        <v/>
      </c>
    </row>
    <row r="2143" spans="9:10">
      <c r="I2143" s="62" t="str">
        <f t="shared" si="67"/>
        <v/>
      </c>
      <c r="J2143" s="63" t="str">
        <f t="shared" si="68"/>
        <v/>
      </c>
    </row>
    <row r="2144" spans="9:10">
      <c r="I2144" s="62" t="str">
        <f t="shared" si="67"/>
        <v/>
      </c>
      <c r="J2144" s="63" t="str">
        <f t="shared" si="68"/>
        <v/>
      </c>
    </row>
    <row r="2145" spans="9:10">
      <c r="I2145" s="62" t="str">
        <f t="shared" si="67"/>
        <v/>
      </c>
      <c r="J2145" s="63" t="str">
        <f t="shared" si="68"/>
        <v/>
      </c>
    </row>
    <row r="2146" spans="9:10">
      <c r="I2146" s="62" t="str">
        <f t="shared" si="67"/>
        <v/>
      </c>
      <c r="J2146" s="63" t="str">
        <f t="shared" si="68"/>
        <v/>
      </c>
    </row>
    <row r="2147" spans="9:10">
      <c r="I2147" s="62" t="str">
        <f t="shared" si="67"/>
        <v/>
      </c>
      <c r="J2147" s="63" t="str">
        <f t="shared" si="68"/>
        <v/>
      </c>
    </row>
    <row r="2148" spans="9:10">
      <c r="I2148" s="62" t="str">
        <f t="shared" si="67"/>
        <v/>
      </c>
      <c r="J2148" s="63" t="str">
        <f t="shared" si="68"/>
        <v/>
      </c>
    </row>
    <row r="2149" spans="9:10">
      <c r="I2149" s="62" t="str">
        <f t="shared" si="67"/>
        <v/>
      </c>
      <c r="J2149" s="63" t="str">
        <f t="shared" si="68"/>
        <v/>
      </c>
    </row>
    <row r="2150" spans="9:10">
      <c r="I2150" s="62" t="str">
        <f t="shared" si="67"/>
        <v/>
      </c>
      <c r="J2150" s="63" t="str">
        <f t="shared" si="68"/>
        <v/>
      </c>
    </row>
    <row r="2151" spans="9:10">
      <c r="I2151" s="62" t="str">
        <f t="shared" si="67"/>
        <v/>
      </c>
      <c r="J2151" s="63" t="str">
        <f t="shared" si="68"/>
        <v/>
      </c>
    </row>
    <row r="2152" spans="9:10">
      <c r="I2152" s="62" t="str">
        <f t="shared" si="67"/>
        <v/>
      </c>
      <c r="J2152" s="63" t="str">
        <f t="shared" si="68"/>
        <v/>
      </c>
    </row>
    <row r="2153" spans="9:10">
      <c r="I2153" s="62" t="str">
        <f t="shared" si="67"/>
        <v/>
      </c>
      <c r="J2153" s="63" t="str">
        <f t="shared" si="68"/>
        <v/>
      </c>
    </row>
    <row r="2154" spans="9:10">
      <c r="I2154" s="62" t="str">
        <f t="shared" si="67"/>
        <v/>
      </c>
      <c r="J2154" s="63" t="str">
        <f t="shared" si="68"/>
        <v/>
      </c>
    </row>
    <row r="2155" spans="9:10">
      <c r="I2155" s="62" t="str">
        <f t="shared" si="67"/>
        <v/>
      </c>
      <c r="J2155" s="63" t="str">
        <f t="shared" si="68"/>
        <v/>
      </c>
    </row>
    <row r="2156" spans="9:10">
      <c r="I2156" s="62" t="str">
        <f t="shared" si="67"/>
        <v/>
      </c>
      <c r="J2156" s="63" t="str">
        <f t="shared" si="68"/>
        <v/>
      </c>
    </row>
    <row r="2157" spans="9:10">
      <c r="I2157" s="62" t="str">
        <f t="shared" si="67"/>
        <v/>
      </c>
      <c r="J2157" s="63" t="str">
        <f t="shared" si="68"/>
        <v/>
      </c>
    </row>
    <row r="2158" spans="9:10">
      <c r="I2158" s="62" t="str">
        <f t="shared" si="67"/>
        <v/>
      </c>
      <c r="J2158" s="63" t="str">
        <f t="shared" si="68"/>
        <v/>
      </c>
    </row>
    <row r="2159" spans="9:10">
      <c r="I2159" s="62" t="str">
        <f t="shared" si="67"/>
        <v/>
      </c>
      <c r="J2159" s="63" t="str">
        <f t="shared" si="68"/>
        <v/>
      </c>
    </row>
    <row r="2160" spans="9:10">
      <c r="I2160" s="62" t="str">
        <f t="shared" si="67"/>
        <v/>
      </c>
      <c r="J2160" s="63" t="str">
        <f t="shared" si="68"/>
        <v/>
      </c>
    </row>
    <row r="2161" spans="9:10">
      <c r="I2161" s="62" t="str">
        <f t="shared" si="67"/>
        <v/>
      </c>
      <c r="J2161" s="63" t="str">
        <f t="shared" si="68"/>
        <v/>
      </c>
    </row>
    <row r="2162" spans="9:10">
      <c r="I2162" s="62" t="str">
        <f t="shared" si="67"/>
        <v/>
      </c>
      <c r="J2162" s="63" t="str">
        <f t="shared" si="68"/>
        <v/>
      </c>
    </row>
    <row r="2163" spans="9:10">
      <c r="I2163" s="62" t="str">
        <f t="shared" si="67"/>
        <v/>
      </c>
      <c r="J2163" s="63" t="str">
        <f t="shared" si="68"/>
        <v/>
      </c>
    </row>
    <row r="2164" spans="9:10">
      <c r="I2164" s="62" t="str">
        <f t="shared" si="67"/>
        <v/>
      </c>
      <c r="J2164" s="63" t="str">
        <f t="shared" si="68"/>
        <v/>
      </c>
    </row>
    <row r="2165" spans="9:10">
      <c r="I2165" s="62" t="str">
        <f t="shared" si="67"/>
        <v/>
      </c>
      <c r="J2165" s="63" t="str">
        <f t="shared" si="68"/>
        <v/>
      </c>
    </row>
    <row r="2166" spans="9:10">
      <c r="I2166" s="62" t="str">
        <f t="shared" si="67"/>
        <v/>
      </c>
      <c r="J2166" s="63" t="str">
        <f t="shared" si="68"/>
        <v/>
      </c>
    </row>
    <row r="2167" spans="9:10">
      <c r="I2167" s="62" t="str">
        <f t="shared" si="67"/>
        <v/>
      </c>
      <c r="J2167" s="63" t="str">
        <f t="shared" si="68"/>
        <v/>
      </c>
    </row>
    <row r="2168" spans="9:10">
      <c r="I2168" s="62" t="str">
        <f t="shared" si="67"/>
        <v/>
      </c>
      <c r="J2168" s="63" t="str">
        <f t="shared" si="68"/>
        <v/>
      </c>
    </row>
    <row r="2169" spans="9:10">
      <c r="I2169" s="62" t="str">
        <f t="shared" si="67"/>
        <v/>
      </c>
      <c r="J2169" s="63" t="str">
        <f t="shared" si="68"/>
        <v/>
      </c>
    </row>
    <row r="2170" spans="9:10">
      <c r="I2170" s="62" t="str">
        <f t="shared" si="67"/>
        <v/>
      </c>
      <c r="J2170" s="63" t="str">
        <f t="shared" si="68"/>
        <v/>
      </c>
    </row>
    <row r="2171" spans="9:10">
      <c r="I2171" s="62" t="str">
        <f t="shared" si="67"/>
        <v/>
      </c>
      <c r="J2171" s="63" t="str">
        <f t="shared" si="68"/>
        <v/>
      </c>
    </row>
    <row r="2172" spans="9:10">
      <c r="I2172" s="62" t="str">
        <f t="shared" si="67"/>
        <v/>
      </c>
      <c r="J2172" s="63" t="str">
        <f t="shared" si="68"/>
        <v/>
      </c>
    </row>
    <row r="2173" spans="9:10">
      <c r="I2173" s="62" t="str">
        <f t="shared" si="67"/>
        <v/>
      </c>
      <c r="J2173" s="63" t="str">
        <f t="shared" si="68"/>
        <v/>
      </c>
    </row>
    <row r="2174" spans="9:10">
      <c r="I2174" s="62" t="str">
        <f t="shared" si="67"/>
        <v/>
      </c>
      <c r="J2174" s="63" t="str">
        <f t="shared" si="68"/>
        <v/>
      </c>
    </row>
    <row r="2175" spans="9:10">
      <c r="I2175" s="62" t="str">
        <f t="shared" si="67"/>
        <v/>
      </c>
      <c r="J2175" s="63" t="str">
        <f t="shared" si="68"/>
        <v/>
      </c>
    </row>
    <row r="2176" spans="9:10">
      <c r="I2176" s="62" t="str">
        <f t="shared" si="67"/>
        <v/>
      </c>
      <c r="J2176" s="63" t="str">
        <f t="shared" si="68"/>
        <v/>
      </c>
    </row>
    <row r="2177" spans="9:10">
      <c r="I2177" s="62" t="str">
        <f t="shared" si="67"/>
        <v/>
      </c>
      <c r="J2177" s="63" t="str">
        <f t="shared" si="68"/>
        <v/>
      </c>
    </row>
    <row r="2178" spans="9:10">
      <c r="I2178" s="62" t="str">
        <f t="shared" si="67"/>
        <v/>
      </c>
      <c r="J2178" s="63" t="str">
        <f t="shared" si="68"/>
        <v/>
      </c>
    </row>
    <row r="2179" spans="9:10">
      <c r="I2179" s="62" t="str">
        <f t="shared" si="67"/>
        <v/>
      </c>
      <c r="J2179" s="63" t="str">
        <f t="shared" si="68"/>
        <v/>
      </c>
    </row>
    <row r="2180" spans="9:10">
      <c r="I2180" s="62" t="str">
        <f t="shared" si="67"/>
        <v/>
      </c>
      <c r="J2180" s="63" t="str">
        <f t="shared" si="68"/>
        <v/>
      </c>
    </row>
    <row r="2181" spans="9:10">
      <c r="I2181" s="62" t="str">
        <f t="shared" si="67"/>
        <v/>
      </c>
      <c r="J2181" s="63" t="str">
        <f t="shared" si="68"/>
        <v/>
      </c>
    </row>
    <row r="2182" spans="9:10">
      <c r="I2182" s="62" t="str">
        <f t="shared" si="67"/>
        <v/>
      </c>
      <c r="J2182" s="63" t="str">
        <f t="shared" si="68"/>
        <v/>
      </c>
    </row>
    <row r="2183" spans="9:10">
      <c r="I2183" s="62" t="str">
        <f t="shared" si="67"/>
        <v/>
      </c>
      <c r="J2183" s="63" t="str">
        <f t="shared" si="68"/>
        <v/>
      </c>
    </row>
    <row r="2184" spans="9:10">
      <c r="I2184" s="62" t="str">
        <f t="shared" si="67"/>
        <v/>
      </c>
      <c r="J2184" s="63" t="str">
        <f t="shared" si="68"/>
        <v/>
      </c>
    </row>
    <row r="2185" spans="9:10">
      <c r="I2185" s="62" t="str">
        <f t="shared" si="67"/>
        <v/>
      </c>
      <c r="J2185" s="63" t="str">
        <f t="shared" si="68"/>
        <v/>
      </c>
    </row>
    <row r="2186" spans="9:10">
      <c r="I2186" s="62" t="str">
        <f t="shared" si="67"/>
        <v/>
      </c>
      <c r="J2186" s="63" t="str">
        <f t="shared" si="68"/>
        <v/>
      </c>
    </row>
    <row r="2187" spans="9:10">
      <c r="I2187" s="62" t="str">
        <f t="shared" si="67"/>
        <v/>
      </c>
      <c r="J2187" s="63" t="str">
        <f t="shared" si="68"/>
        <v/>
      </c>
    </row>
    <row r="2188" spans="9:10">
      <c r="I2188" s="62" t="str">
        <f t="shared" ref="I2188:I2251" si="69">IF(B2188="","",IF(B2188="Total",I2186,IF(B2186="Total",I2186, IF(ISNUMBER(A2188),A2188,I2187))))</f>
        <v/>
      </c>
      <c r="J2188" s="63" t="str">
        <f t="shared" si="68"/>
        <v/>
      </c>
    </row>
    <row r="2189" spans="9:10">
      <c r="I2189" s="62" t="str">
        <f t="shared" si="69"/>
        <v/>
      </c>
      <c r="J2189" s="63" t="str">
        <f t="shared" si="68"/>
        <v/>
      </c>
    </row>
    <row r="2190" spans="9:10">
      <c r="I2190" s="62" t="str">
        <f t="shared" si="69"/>
        <v/>
      </c>
      <c r="J2190" s="63" t="str">
        <f t="shared" si="68"/>
        <v/>
      </c>
    </row>
    <row r="2191" spans="9:10">
      <c r="I2191" s="62" t="str">
        <f t="shared" si="69"/>
        <v/>
      </c>
      <c r="J2191" s="63" t="str">
        <f t="shared" ref="J2191:J2254" si="70">IF(B2191="","",IF(B2191="Total",J2189,IF(B2189="Total",J2189,IF(A2191="",J2190,IF(ISNUMBER(A2190),B2190,IF(ISNUMBER(A2191),B2191,J2190))))))</f>
        <v/>
      </c>
    </row>
    <row r="2192" spans="9:10">
      <c r="I2192" s="62" t="str">
        <f t="shared" si="69"/>
        <v/>
      </c>
      <c r="J2192" s="63" t="str">
        <f t="shared" si="70"/>
        <v/>
      </c>
    </row>
    <row r="2193" spans="9:10">
      <c r="I2193" s="62" t="str">
        <f t="shared" si="69"/>
        <v/>
      </c>
      <c r="J2193" s="63" t="str">
        <f t="shared" si="70"/>
        <v/>
      </c>
    </row>
    <row r="2194" spans="9:10">
      <c r="I2194" s="62" t="str">
        <f t="shared" si="69"/>
        <v/>
      </c>
      <c r="J2194" s="63" t="str">
        <f t="shared" si="70"/>
        <v/>
      </c>
    </row>
    <row r="2195" spans="9:10">
      <c r="I2195" s="62" t="str">
        <f t="shared" si="69"/>
        <v/>
      </c>
      <c r="J2195" s="63" t="str">
        <f t="shared" si="70"/>
        <v/>
      </c>
    </row>
    <row r="2196" spans="9:10">
      <c r="I2196" s="62" t="str">
        <f t="shared" si="69"/>
        <v/>
      </c>
      <c r="J2196" s="63" t="str">
        <f t="shared" si="70"/>
        <v/>
      </c>
    </row>
    <row r="2197" spans="9:10">
      <c r="I2197" s="62" t="str">
        <f t="shared" si="69"/>
        <v/>
      </c>
      <c r="J2197" s="63" t="str">
        <f t="shared" si="70"/>
        <v/>
      </c>
    </row>
    <row r="2198" spans="9:10">
      <c r="I2198" s="62" t="str">
        <f t="shared" si="69"/>
        <v/>
      </c>
      <c r="J2198" s="63" t="str">
        <f t="shared" si="70"/>
        <v/>
      </c>
    </row>
    <row r="2199" spans="9:10">
      <c r="I2199" s="62" t="str">
        <f t="shared" si="69"/>
        <v/>
      </c>
      <c r="J2199" s="63" t="str">
        <f t="shared" si="70"/>
        <v/>
      </c>
    </row>
    <row r="2200" spans="9:10">
      <c r="I2200" s="62" t="str">
        <f t="shared" si="69"/>
        <v/>
      </c>
      <c r="J2200" s="63" t="str">
        <f t="shared" si="70"/>
        <v/>
      </c>
    </row>
    <row r="2201" spans="9:10">
      <c r="I2201" s="62" t="str">
        <f t="shared" si="69"/>
        <v/>
      </c>
      <c r="J2201" s="63" t="str">
        <f t="shared" si="70"/>
        <v/>
      </c>
    </row>
    <row r="2202" spans="9:10">
      <c r="I2202" s="62" t="str">
        <f t="shared" si="69"/>
        <v/>
      </c>
      <c r="J2202" s="63" t="str">
        <f t="shared" si="70"/>
        <v/>
      </c>
    </row>
    <row r="2203" spans="9:10">
      <c r="I2203" s="62" t="str">
        <f t="shared" si="69"/>
        <v/>
      </c>
      <c r="J2203" s="63" t="str">
        <f t="shared" si="70"/>
        <v/>
      </c>
    </row>
    <row r="2204" spans="9:10">
      <c r="I2204" s="62" t="str">
        <f t="shared" si="69"/>
        <v/>
      </c>
      <c r="J2204" s="63" t="str">
        <f t="shared" si="70"/>
        <v/>
      </c>
    </row>
    <row r="2205" spans="9:10">
      <c r="I2205" s="62" t="str">
        <f t="shared" si="69"/>
        <v/>
      </c>
      <c r="J2205" s="63" t="str">
        <f t="shared" si="70"/>
        <v/>
      </c>
    </row>
    <row r="2206" spans="9:10">
      <c r="I2206" s="62" t="str">
        <f t="shared" si="69"/>
        <v/>
      </c>
      <c r="J2206" s="63" t="str">
        <f t="shared" si="70"/>
        <v/>
      </c>
    </row>
    <row r="2207" spans="9:10">
      <c r="I2207" s="62" t="str">
        <f t="shared" si="69"/>
        <v/>
      </c>
      <c r="J2207" s="63" t="str">
        <f t="shared" si="70"/>
        <v/>
      </c>
    </row>
    <row r="2208" spans="9:10">
      <c r="I2208" s="62" t="str">
        <f t="shared" si="69"/>
        <v/>
      </c>
      <c r="J2208" s="63" t="str">
        <f t="shared" si="70"/>
        <v/>
      </c>
    </row>
    <row r="2209" spans="9:10">
      <c r="I2209" s="62" t="str">
        <f t="shared" si="69"/>
        <v/>
      </c>
      <c r="J2209" s="63" t="str">
        <f t="shared" si="70"/>
        <v/>
      </c>
    </row>
    <row r="2210" spans="9:10">
      <c r="I2210" s="62" t="str">
        <f t="shared" si="69"/>
        <v/>
      </c>
      <c r="J2210" s="63" t="str">
        <f t="shared" si="70"/>
        <v/>
      </c>
    </row>
    <row r="2211" spans="9:10">
      <c r="I2211" s="62" t="str">
        <f t="shared" si="69"/>
        <v/>
      </c>
      <c r="J2211" s="63" t="str">
        <f t="shared" si="70"/>
        <v/>
      </c>
    </row>
    <row r="2212" spans="9:10">
      <c r="I2212" s="62" t="str">
        <f t="shared" si="69"/>
        <v/>
      </c>
      <c r="J2212" s="63" t="str">
        <f t="shared" si="70"/>
        <v/>
      </c>
    </row>
    <row r="2213" spans="9:10">
      <c r="I2213" s="62" t="str">
        <f t="shared" si="69"/>
        <v/>
      </c>
      <c r="J2213" s="63" t="str">
        <f t="shared" si="70"/>
        <v/>
      </c>
    </row>
    <row r="2214" spans="9:10">
      <c r="I2214" s="62" t="str">
        <f t="shared" si="69"/>
        <v/>
      </c>
      <c r="J2214" s="63" t="str">
        <f t="shared" si="70"/>
        <v/>
      </c>
    </row>
    <row r="2215" spans="9:10">
      <c r="I2215" s="62" t="str">
        <f t="shared" si="69"/>
        <v/>
      </c>
      <c r="J2215" s="63" t="str">
        <f t="shared" si="70"/>
        <v/>
      </c>
    </row>
    <row r="2216" spans="9:10">
      <c r="I2216" s="62" t="str">
        <f t="shared" si="69"/>
        <v/>
      </c>
      <c r="J2216" s="63" t="str">
        <f t="shared" si="70"/>
        <v/>
      </c>
    </row>
    <row r="2217" spans="9:10">
      <c r="I2217" s="62" t="str">
        <f t="shared" si="69"/>
        <v/>
      </c>
      <c r="J2217" s="63" t="str">
        <f t="shared" si="70"/>
        <v/>
      </c>
    </row>
    <row r="2218" spans="9:10">
      <c r="I2218" s="62" t="str">
        <f t="shared" si="69"/>
        <v/>
      </c>
      <c r="J2218" s="63" t="str">
        <f t="shared" si="70"/>
        <v/>
      </c>
    </row>
    <row r="2219" spans="9:10">
      <c r="I2219" s="62" t="str">
        <f t="shared" si="69"/>
        <v/>
      </c>
      <c r="J2219" s="63" t="str">
        <f t="shared" si="70"/>
        <v/>
      </c>
    </row>
    <row r="2220" spans="9:10">
      <c r="I2220" s="62" t="str">
        <f t="shared" si="69"/>
        <v/>
      </c>
      <c r="J2220" s="63" t="str">
        <f t="shared" si="70"/>
        <v/>
      </c>
    </row>
    <row r="2221" spans="9:10">
      <c r="I2221" s="62" t="str">
        <f t="shared" si="69"/>
        <v/>
      </c>
      <c r="J2221" s="63" t="str">
        <f t="shared" si="70"/>
        <v/>
      </c>
    </row>
    <row r="2222" spans="9:10">
      <c r="I2222" s="62" t="str">
        <f t="shared" si="69"/>
        <v/>
      </c>
      <c r="J2222" s="63" t="str">
        <f t="shared" si="70"/>
        <v/>
      </c>
    </row>
    <row r="2223" spans="9:10">
      <c r="I2223" s="62" t="str">
        <f t="shared" si="69"/>
        <v/>
      </c>
      <c r="J2223" s="63" t="str">
        <f t="shared" si="70"/>
        <v/>
      </c>
    </row>
    <row r="2224" spans="9:10">
      <c r="I2224" s="62" t="str">
        <f t="shared" si="69"/>
        <v/>
      </c>
      <c r="J2224" s="63" t="str">
        <f t="shared" si="70"/>
        <v/>
      </c>
    </row>
    <row r="2225" spans="9:10">
      <c r="I2225" s="62" t="str">
        <f t="shared" si="69"/>
        <v/>
      </c>
      <c r="J2225" s="63" t="str">
        <f t="shared" si="70"/>
        <v/>
      </c>
    </row>
    <row r="2226" spans="9:10">
      <c r="I2226" s="62" t="str">
        <f t="shared" si="69"/>
        <v/>
      </c>
      <c r="J2226" s="63" t="str">
        <f t="shared" si="70"/>
        <v/>
      </c>
    </row>
    <row r="2227" spans="9:10">
      <c r="I2227" s="62" t="str">
        <f t="shared" si="69"/>
        <v/>
      </c>
      <c r="J2227" s="63" t="str">
        <f t="shared" si="70"/>
        <v/>
      </c>
    </row>
    <row r="2228" spans="9:10">
      <c r="I2228" s="62" t="str">
        <f t="shared" si="69"/>
        <v/>
      </c>
      <c r="J2228" s="63" t="str">
        <f t="shared" si="70"/>
        <v/>
      </c>
    </row>
    <row r="2229" spans="9:10">
      <c r="I2229" s="62" t="str">
        <f t="shared" si="69"/>
        <v/>
      </c>
      <c r="J2229" s="63" t="str">
        <f t="shared" si="70"/>
        <v/>
      </c>
    </row>
    <row r="2230" spans="9:10">
      <c r="I2230" s="62" t="str">
        <f t="shared" si="69"/>
        <v/>
      </c>
      <c r="J2230" s="63" t="str">
        <f t="shared" si="70"/>
        <v/>
      </c>
    </row>
    <row r="2231" spans="9:10">
      <c r="I2231" s="62" t="str">
        <f t="shared" si="69"/>
        <v/>
      </c>
      <c r="J2231" s="63" t="str">
        <f t="shared" si="70"/>
        <v/>
      </c>
    </row>
    <row r="2232" spans="9:10">
      <c r="I2232" s="62" t="str">
        <f t="shared" si="69"/>
        <v/>
      </c>
      <c r="J2232" s="63" t="str">
        <f t="shared" si="70"/>
        <v/>
      </c>
    </row>
    <row r="2233" spans="9:10">
      <c r="I2233" s="62" t="str">
        <f t="shared" si="69"/>
        <v/>
      </c>
      <c r="J2233" s="63" t="str">
        <f t="shared" si="70"/>
        <v/>
      </c>
    </row>
    <row r="2234" spans="9:10">
      <c r="I2234" s="62" t="str">
        <f t="shared" si="69"/>
        <v/>
      </c>
      <c r="J2234" s="63" t="str">
        <f t="shared" si="70"/>
        <v/>
      </c>
    </row>
    <row r="2235" spans="9:10">
      <c r="I2235" s="62" t="str">
        <f t="shared" si="69"/>
        <v/>
      </c>
      <c r="J2235" s="63" t="str">
        <f t="shared" si="70"/>
        <v/>
      </c>
    </row>
    <row r="2236" spans="9:10">
      <c r="I2236" s="62" t="str">
        <f t="shared" si="69"/>
        <v/>
      </c>
      <c r="J2236" s="63" t="str">
        <f t="shared" si="70"/>
        <v/>
      </c>
    </row>
    <row r="2237" spans="9:10">
      <c r="I2237" s="62" t="str">
        <f t="shared" si="69"/>
        <v/>
      </c>
      <c r="J2237" s="63" t="str">
        <f t="shared" si="70"/>
        <v/>
      </c>
    </row>
    <row r="2238" spans="9:10">
      <c r="I2238" s="62" t="str">
        <f t="shared" si="69"/>
        <v/>
      </c>
      <c r="J2238" s="63" t="str">
        <f t="shared" si="70"/>
        <v/>
      </c>
    </row>
    <row r="2239" spans="9:10">
      <c r="I2239" s="62" t="str">
        <f t="shared" si="69"/>
        <v/>
      </c>
      <c r="J2239" s="63" t="str">
        <f t="shared" si="70"/>
        <v/>
      </c>
    </row>
    <row r="2240" spans="9:10">
      <c r="I2240" s="62" t="str">
        <f t="shared" si="69"/>
        <v/>
      </c>
      <c r="J2240" s="63" t="str">
        <f t="shared" si="70"/>
        <v/>
      </c>
    </row>
    <row r="2241" spans="9:10">
      <c r="I2241" s="62" t="str">
        <f t="shared" si="69"/>
        <v/>
      </c>
      <c r="J2241" s="63" t="str">
        <f t="shared" si="70"/>
        <v/>
      </c>
    </row>
    <row r="2242" spans="9:10">
      <c r="I2242" s="62" t="str">
        <f t="shared" si="69"/>
        <v/>
      </c>
      <c r="J2242" s="63" t="str">
        <f t="shared" si="70"/>
        <v/>
      </c>
    </row>
    <row r="2243" spans="9:10">
      <c r="I2243" s="62" t="str">
        <f t="shared" si="69"/>
        <v/>
      </c>
      <c r="J2243" s="63" t="str">
        <f t="shared" si="70"/>
        <v/>
      </c>
    </row>
    <row r="2244" spans="9:10">
      <c r="I2244" s="62" t="str">
        <f t="shared" si="69"/>
        <v/>
      </c>
      <c r="J2244" s="63" t="str">
        <f t="shared" si="70"/>
        <v/>
      </c>
    </row>
    <row r="2245" spans="9:10">
      <c r="I2245" s="62" t="str">
        <f t="shared" si="69"/>
        <v/>
      </c>
      <c r="J2245" s="63" t="str">
        <f t="shared" si="70"/>
        <v/>
      </c>
    </row>
    <row r="2246" spans="9:10">
      <c r="I2246" s="62" t="str">
        <f t="shared" si="69"/>
        <v/>
      </c>
      <c r="J2246" s="63" t="str">
        <f t="shared" si="70"/>
        <v/>
      </c>
    </row>
    <row r="2247" spans="9:10">
      <c r="I2247" s="62" t="str">
        <f t="shared" si="69"/>
        <v/>
      </c>
      <c r="J2247" s="63" t="str">
        <f t="shared" si="70"/>
        <v/>
      </c>
    </row>
    <row r="2248" spans="9:10">
      <c r="I2248" s="62" t="str">
        <f t="shared" si="69"/>
        <v/>
      </c>
      <c r="J2248" s="63" t="str">
        <f t="shared" si="70"/>
        <v/>
      </c>
    </row>
    <row r="2249" spans="9:10">
      <c r="I2249" s="62" t="str">
        <f t="shared" si="69"/>
        <v/>
      </c>
      <c r="J2249" s="63" t="str">
        <f t="shared" si="70"/>
        <v/>
      </c>
    </row>
    <row r="2250" spans="9:10">
      <c r="I2250" s="62" t="str">
        <f t="shared" si="69"/>
        <v/>
      </c>
      <c r="J2250" s="63" t="str">
        <f t="shared" si="70"/>
        <v/>
      </c>
    </row>
    <row r="2251" spans="9:10">
      <c r="I2251" s="62" t="str">
        <f t="shared" si="69"/>
        <v/>
      </c>
      <c r="J2251" s="63" t="str">
        <f t="shared" si="70"/>
        <v/>
      </c>
    </row>
    <row r="2252" spans="9:10">
      <c r="I2252" s="62" t="str">
        <f t="shared" ref="I2252:I2315" si="71">IF(B2252="","",IF(B2252="Total",I2250,IF(B2250="Total",I2250, IF(ISNUMBER(A2252),A2252,I2251))))</f>
        <v/>
      </c>
      <c r="J2252" s="63" t="str">
        <f t="shared" si="70"/>
        <v/>
      </c>
    </row>
    <row r="2253" spans="9:10">
      <c r="I2253" s="62" t="str">
        <f t="shared" si="71"/>
        <v/>
      </c>
      <c r="J2253" s="63" t="str">
        <f t="shared" si="70"/>
        <v/>
      </c>
    </row>
    <row r="2254" spans="9:10">
      <c r="I2254" s="62" t="str">
        <f t="shared" si="71"/>
        <v/>
      </c>
      <c r="J2254" s="63" t="str">
        <f t="shared" si="70"/>
        <v/>
      </c>
    </row>
    <row r="2255" spans="9:10">
      <c r="I2255" s="62" t="str">
        <f t="shared" si="71"/>
        <v/>
      </c>
      <c r="J2255" s="63" t="str">
        <f t="shared" ref="J2255:J2318" si="72">IF(B2255="","",IF(B2255="Total",J2253,IF(B2253="Total",J2253,IF(A2255="",J2254,IF(ISNUMBER(A2254),B2254,IF(ISNUMBER(A2255),B2255,J2254))))))</f>
        <v/>
      </c>
    </row>
    <row r="2256" spans="9:10">
      <c r="I2256" s="62" t="str">
        <f t="shared" si="71"/>
        <v/>
      </c>
      <c r="J2256" s="63" t="str">
        <f t="shared" si="72"/>
        <v/>
      </c>
    </row>
    <row r="2257" spans="9:10">
      <c r="I2257" s="62" t="str">
        <f t="shared" si="71"/>
        <v/>
      </c>
      <c r="J2257" s="63" t="str">
        <f t="shared" si="72"/>
        <v/>
      </c>
    </row>
    <row r="2258" spans="9:10">
      <c r="I2258" s="62" t="str">
        <f t="shared" si="71"/>
        <v/>
      </c>
      <c r="J2258" s="63" t="str">
        <f t="shared" si="72"/>
        <v/>
      </c>
    </row>
    <row r="2259" spans="9:10">
      <c r="I2259" s="62" t="str">
        <f t="shared" si="71"/>
        <v/>
      </c>
      <c r="J2259" s="63" t="str">
        <f t="shared" si="72"/>
        <v/>
      </c>
    </row>
    <row r="2260" spans="9:10">
      <c r="I2260" s="62" t="str">
        <f t="shared" si="71"/>
        <v/>
      </c>
      <c r="J2260" s="63" t="str">
        <f t="shared" si="72"/>
        <v/>
      </c>
    </row>
    <row r="2261" spans="9:10">
      <c r="I2261" s="62" t="str">
        <f t="shared" si="71"/>
        <v/>
      </c>
      <c r="J2261" s="63" t="str">
        <f t="shared" si="72"/>
        <v/>
      </c>
    </row>
    <row r="2262" spans="9:10">
      <c r="I2262" s="62" t="str">
        <f t="shared" si="71"/>
        <v/>
      </c>
      <c r="J2262" s="63" t="str">
        <f t="shared" si="72"/>
        <v/>
      </c>
    </row>
    <row r="2263" spans="9:10">
      <c r="I2263" s="62" t="str">
        <f t="shared" si="71"/>
        <v/>
      </c>
      <c r="J2263" s="63" t="str">
        <f t="shared" si="72"/>
        <v/>
      </c>
    </row>
    <row r="2264" spans="9:10">
      <c r="I2264" s="62" t="str">
        <f t="shared" si="71"/>
        <v/>
      </c>
      <c r="J2264" s="63" t="str">
        <f t="shared" si="72"/>
        <v/>
      </c>
    </row>
    <row r="2265" spans="9:10">
      <c r="I2265" s="62" t="str">
        <f t="shared" si="71"/>
        <v/>
      </c>
      <c r="J2265" s="63" t="str">
        <f t="shared" si="72"/>
        <v/>
      </c>
    </row>
    <row r="2266" spans="9:10">
      <c r="I2266" s="62" t="str">
        <f t="shared" si="71"/>
        <v/>
      </c>
      <c r="J2266" s="63" t="str">
        <f t="shared" si="72"/>
        <v/>
      </c>
    </row>
    <row r="2267" spans="9:10">
      <c r="I2267" s="62" t="str">
        <f t="shared" si="71"/>
        <v/>
      </c>
      <c r="J2267" s="63" t="str">
        <f t="shared" si="72"/>
        <v/>
      </c>
    </row>
    <row r="2268" spans="9:10">
      <c r="I2268" s="62" t="str">
        <f t="shared" si="71"/>
        <v/>
      </c>
      <c r="J2268" s="63" t="str">
        <f t="shared" si="72"/>
        <v/>
      </c>
    </row>
    <row r="2269" spans="9:10">
      <c r="I2269" s="62" t="str">
        <f t="shared" si="71"/>
        <v/>
      </c>
      <c r="J2269" s="63" t="str">
        <f t="shared" si="72"/>
        <v/>
      </c>
    </row>
    <row r="2270" spans="9:10">
      <c r="I2270" s="62" t="str">
        <f t="shared" si="71"/>
        <v/>
      </c>
      <c r="J2270" s="63" t="str">
        <f t="shared" si="72"/>
        <v/>
      </c>
    </row>
    <row r="2271" spans="9:10">
      <c r="I2271" s="62" t="str">
        <f t="shared" si="71"/>
        <v/>
      </c>
      <c r="J2271" s="63" t="str">
        <f t="shared" si="72"/>
        <v/>
      </c>
    </row>
    <row r="2272" spans="9:10">
      <c r="I2272" s="62" t="str">
        <f t="shared" si="71"/>
        <v/>
      </c>
      <c r="J2272" s="63" t="str">
        <f t="shared" si="72"/>
        <v/>
      </c>
    </row>
    <row r="2273" spans="9:10">
      <c r="I2273" s="62" t="str">
        <f t="shared" si="71"/>
        <v/>
      </c>
      <c r="J2273" s="63" t="str">
        <f t="shared" si="72"/>
        <v/>
      </c>
    </row>
    <row r="2274" spans="9:10">
      <c r="I2274" s="62" t="str">
        <f t="shared" si="71"/>
        <v/>
      </c>
      <c r="J2274" s="63" t="str">
        <f t="shared" si="72"/>
        <v/>
      </c>
    </row>
    <row r="2275" spans="9:10">
      <c r="I2275" s="62" t="str">
        <f t="shared" si="71"/>
        <v/>
      </c>
      <c r="J2275" s="63" t="str">
        <f t="shared" si="72"/>
        <v/>
      </c>
    </row>
    <row r="2276" spans="9:10">
      <c r="I2276" s="62" t="str">
        <f t="shared" si="71"/>
        <v/>
      </c>
      <c r="J2276" s="63" t="str">
        <f t="shared" si="72"/>
        <v/>
      </c>
    </row>
    <row r="2277" spans="9:10">
      <c r="I2277" s="62" t="str">
        <f t="shared" si="71"/>
        <v/>
      </c>
      <c r="J2277" s="63" t="str">
        <f t="shared" si="72"/>
        <v/>
      </c>
    </row>
    <row r="2278" spans="9:10">
      <c r="I2278" s="62" t="str">
        <f t="shared" si="71"/>
        <v/>
      </c>
      <c r="J2278" s="63" t="str">
        <f t="shared" si="72"/>
        <v/>
      </c>
    </row>
    <row r="2279" spans="9:10">
      <c r="I2279" s="62" t="str">
        <f t="shared" si="71"/>
        <v/>
      </c>
      <c r="J2279" s="63" t="str">
        <f t="shared" si="72"/>
        <v/>
      </c>
    </row>
    <row r="2280" spans="9:10">
      <c r="I2280" s="62" t="str">
        <f t="shared" si="71"/>
        <v/>
      </c>
      <c r="J2280" s="63" t="str">
        <f t="shared" si="72"/>
        <v/>
      </c>
    </row>
    <row r="2281" spans="9:10">
      <c r="I2281" s="62" t="str">
        <f t="shared" si="71"/>
        <v/>
      </c>
      <c r="J2281" s="63" t="str">
        <f t="shared" si="72"/>
        <v/>
      </c>
    </row>
    <row r="2282" spans="9:10">
      <c r="I2282" s="62" t="str">
        <f t="shared" si="71"/>
        <v/>
      </c>
      <c r="J2282" s="63" t="str">
        <f t="shared" si="72"/>
        <v/>
      </c>
    </row>
    <row r="2283" spans="9:10">
      <c r="I2283" s="62" t="str">
        <f t="shared" si="71"/>
        <v/>
      </c>
      <c r="J2283" s="63" t="str">
        <f t="shared" si="72"/>
        <v/>
      </c>
    </row>
    <row r="2284" spans="9:10">
      <c r="I2284" s="62" t="str">
        <f t="shared" si="71"/>
        <v/>
      </c>
      <c r="J2284" s="63" t="str">
        <f t="shared" si="72"/>
        <v/>
      </c>
    </row>
    <row r="2285" spans="9:10">
      <c r="I2285" s="62" t="str">
        <f t="shared" si="71"/>
        <v/>
      </c>
      <c r="J2285" s="63" t="str">
        <f t="shared" si="72"/>
        <v/>
      </c>
    </row>
    <row r="2286" spans="9:10">
      <c r="I2286" s="62" t="str">
        <f t="shared" si="71"/>
        <v/>
      </c>
      <c r="J2286" s="63" t="str">
        <f t="shared" si="72"/>
        <v/>
      </c>
    </row>
    <row r="2287" spans="9:10">
      <c r="I2287" s="62" t="str">
        <f t="shared" si="71"/>
        <v/>
      </c>
      <c r="J2287" s="63" t="str">
        <f t="shared" si="72"/>
        <v/>
      </c>
    </row>
    <row r="2288" spans="9:10">
      <c r="I2288" s="62" t="str">
        <f t="shared" si="71"/>
        <v/>
      </c>
      <c r="J2288" s="63" t="str">
        <f t="shared" si="72"/>
        <v/>
      </c>
    </row>
    <row r="2289" spans="9:10">
      <c r="I2289" s="62" t="str">
        <f t="shared" si="71"/>
        <v/>
      </c>
      <c r="J2289" s="63" t="str">
        <f t="shared" si="72"/>
        <v/>
      </c>
    </row>
    <row r="2290" spans="9:10">
      <c r="I2290" s="62" t="str">
        <f t="shared" si="71"/>
        <v/>
      </c>
      <c r="J2290" s="63" t="str">
        <f t="shared" si="72"/>
        <v/>
      </c>
    </row>
    <row r="2291" spans="9:10">
      <c r="I2291" s="62" t="str">
        <f t="shared" si="71"/>
        <v/>
      </c>
      <c r="J2291" s="63" t="str">
        <f t="shared" si="72"/>
        <v/>
      </c>
    </row>
    <row r="2292" spans="9:10">
      <c r="I2292" s="62" t="str">
        <f t="shared" si="71"/>
        <v/>
      </c>
      <c r="J2292" s="63" t="str">
        <f t="shared" si="72"/>
        <v/>
      </c>
    </row>
    <row r="2293" spans="9:10">
      <c r="I2293" s="62" t="str">
        <f t="shared" si="71"/>
        <v/>
      </c>
      <c r="J2293" s="63" t="str">
        <f t="shared" si="72"/>
        <v/>
      </c>
    </row>
    <row r="2294" spans="9:10">
      <c r="I2294" s="62" t="str">
        <f t="shared" si="71"/>
        <v/>
      </c>
      <c r="J2294" s="63" t="str">
        <f t="shared" si="72"/>
        <v/>
      </c>
    </row>
    <row r="2295" spans="9:10">
      <c r="I2295" s="62" t="str">
        <f t="shared" si="71"/>
        <v/>
      </c>
      <c r="J2295" s="63" t="str">
        <f t="shared" si="72"/>
        <v/>
      </c>
    </row>
    <row r="2296" spans="9:10">
      <c r="I2296" s="62" t="str">
        <f t="shared" si="71"/>
        <v/>
      </c>
      <c r="J2296" s="63" t="str">
        <f t="shared" si="72"/>
        <v/>
      </c>
    </row>
    <row r="2297" spans="9:10">
      <c r="I2297" s="62" t="str">
        <f t="shared" si="71"/>
        <v/>
      </c>
      <c r="J2297" s="63" t="str">
        <f t="shared" si="72"/>
        <v/>
      </c>
    </row>
    <row r="2298" spans="9:10">
      <c r="I2298" s="62" t="str">
        <f t="shared" si="71"/>
        <v/>
      </c>
      <c r="J2298" s="63" t="str">
        <f t="shared" si="72"/>
        <v/>
      </c>
    </row>
    <row r="2299" spans="9:10">
      <c r="I2299" s="62" t="str">
        <f t="shared" si="71"/>
        <v/>
      </c>
      <c r="J2299" s="63" t="str">
        <f t="shared" si="72"/>
        <v/>
      </c>
    </row>
    <row r="2300" spans="9:10">
      <c r="I2300" s="62" t="str">
        <f t="shared" si="71"/>
        <v/>
      </c>
      <c r="J2300" s="63" t="str">
        <f t="shared" si="72"/>
        <v/>
      </c>
    </row>
    <row r="2301" spans="9:10">
      <c r="I2301" s="62" t="str">
        <f t="shared" si="71"/>
        <v/>
      </c>
      <c r="J2301" s="63" t="str">
        <f t="shared" si="72"/>
        <v/>
      </c>
    </row>
    <row r="2302" spans="9:10">
      <c r="I2302" s="62" t="str">
        <f t="shared" si="71"/>
        <v/>
      </c>
      <c r="J2302" s="63" t="str">
        <f t="shared" si="72"/>
        <v/>
      </c>
    </row>
    <row r="2303" spans="9:10">
      <c r="I2303" s="62" t="str">
        <f t="shared" si="71"/>
        <v/>
      </c>
      <c r="J2303" s="63" t="str">
        <f t="shared" si="72"/>
        <v/>
      </c>
    </row>
    <row r="2304" spans="9:10">
      <c r="I2304" s="62" t="str">
        <f t="shared" si="71"/>
        <v/>
      </c>
      <c r="J2304" s="63" t="str">
        <f t="shared" si="72"/>
        <v/>
      </c>
    </row>
    <row r="2305" spans="9:10">
      <c r="I2305" s="62" t="str">
        <f t="shared" si="71"/>
        <v/>
      </c>
      <c r="J2305" s="63" t="str">
        <f t="shared" si="72"/>
        <v/>
      </c>
    </row>
    <row r="2306" spans="9:10">
      <c r="I2306" s="62" t="str">
        <f t="shared" si="71"/>
        <v/>
      </c>
      <c r="J2306" s="63" t="str">
        <f t="shared" si="72"/>
        <v/>
      </c>
    </row>
    <row r="2307" spans="9:10">
      <c r="I2307" s="62" t="str">
        <f t="shared" si="71"/>
        <v/>
      </c>
      <c r="J2307" s="63" t="str">
        <f t="shared" si="72"/>
        <v/>
      </c>
    </row>
    <row r="2308" spans="9:10">
      <c r="I2308" s="62" t="str">
        <f t="shared" si="71"/>
        <v/>
      </c>
      <c r="J2308" s="63" t="str">
        <f t="shared" si="72"/>
        <v/>
      </c>
    </row>
    <row r="2309" spans="9:10">
      <c r="I2309" s="62" t="str">
        <f t="shared" si="71"/>
        <v/>
      </c>
      <c r="J2309" s="63" t="str">
        <f t="shared" si="72"/>
        <v/>
      </c>
    </row>
    <row r="2310" spans="9:10">
      <c r="I2310" s="62" t="str">
        <f t="shared" si="71"/>
        <v/>
      </c>
      <c r="J2310" s="63" t="str">
        <f t="shared" si="72"/>
        <v/>
      </c>
    </row>
    <row r="2311" spans="9:10">
      <c r="I2311" s="62" t="str">
        <f t="shared" si="71"/>
        <v/>
      </c>
      <c r="J2311" s="63" t="str">
        <f t="shared" si="72"/>
        <v/>
      </c>
    </row>
    <row r="2312" spans="9:10">
      <c r="I2312" s="62" t="str">
        <f t="shared" si="71"/>
        <v/>
      </c>
      <c r="J2312" s="63" t="str">
        <f t="shared" si="72"/>
        <v/>
      </c>
    </row>
    <row r="2313" spans="9:10">
      <c r="I2313" s="62" t="str">
        <f t="shared" si="71"/>
        <v/>
      </c>
      <c r="J2313" s="63" t="str">
        <f t="shared" si="72"/>
        <v/>
      </c>
    </row>
    <row r="2314" spans="9:10">
      <c r="I2314" s="62" t="str">
        <f t="shared" si="71"/>
        <v/>
      </c>
      <c r="J2314" s="63" t="str">
        <f t="shared" si="72"/>
        <v/>
      </c>
    </row>
    <row r="2315" spans="9:10">
      <c r="I2315" s="62" t="str">
        <f t="shared" si="71"/>
        <v/>
      </c>
      <c r="J2315" s="63" t="str">
        <f t="shared" si="72"/>
        <v/>
      </c>
    </row>
    <row r="2316" spans="9:10">
      <c r="I2316" s="62" t="str">
        <f t="shared" ref="I2316:I2379" si="73">IF(B2316="","",IF(B2316="Total",I2314,IF(B2314="Total",I2314, IF(ISNUMBER(A2316),A2316,I2315))))</f>
        <v/>
      </c>
      <c r="J2316" s="63" t="str">
        <f t="shared" si="72"/>
        <v/>
      </c>
    </row>
    <row r="2317" spans="9:10">
      <c r="I2317" s="62" t="str">
        <f t="shared" si="73"/>
        <v/>
      </c>
      <c r="J2317" s="63" t="str">
        <f t="shared" si="72"/>
        <v/>
      </c>
    </row>
    <row r="2318" spans="9:10">
      <c r="I2318" s="62" t="str">
        <f t="shared" si="73"/>
        <v/>
      </c>
      <c r="J2318" s="63" t="str">
        <f t="shared" si="72"/>
        <v/>
      </c>
    </row>
    <row r="2319" spans="9:10">
      <c r="I2319" s="62" t="str">
        <f t="shared" si="73"/>
        <v/>
      </c>
      <c r="J2319" s="63" t="str">
        <f t="shared" ref="J2319:J2382" si="74">IF(B2319="","",IF(B2319="Total",J2317,IF(B2317="Total",J2317,IF(A2319="",J2318,IF(ISNUMBER(A2318),B2318,IF(ISNUMBER(A2319),B2319,J2318))))))</f>
        <v/>
      </c>
    </row>
    <row r="2320" spans="9:10">
      <c r="I2320" s="62" t="str">
        <f t="shared" si="73"/>
        <v/>
      </c>
      <c r="J2320" s="63" t="str">
        <f t="shared" si="74"/>
        <v/>
      </c>
    </row>
    <row r="2321" spans="9:10">
      <c r="I2321" s="62" t="str">
        <f t="shared" si="73"/>
        <v/>
      </c>
      <c r="J2321" s="63" t="str">
        <f t="shared" si="74"/>
        <v/>
      </c>
    </row>
    <row r="2322" spans="9:10">
      <c r="I2322" s="62" t="str">
        <f t="shared" si="73"/>
        <v/>
      </c>
      <c r="J2322" s="63" t="str">
        <f t="shared" si="74"/>
        <v/>
      </c>
    </row>
    <row r="2323" spans="9:10">
      <c r="I2323" s="62" t="str">
        <f t="shared" si="73"/>
        <v/>
      </c>
      <c r="J2323" s="63" t="str">
        <f t="shared" si="74"/>
        <v/>
      </c>
    </row>
    <row r="2324" spans="9:10">
      <c r="I2324" s="62" t="str">
        <f t="shared" si="73"/>
        <v/>
      </c>
      <c r="J2324" s="63" t="str">
        <f t="shared" si="74"/>
        <v/>
      </c>
    </row>
    <row r="2325" spans="9:10">
      <c r="I2325" s="62" t="str">
        <f t="shared" si="73"/>
        <v/>
      </c>
      <c r="J2325" s="63" t="str">
        <f t="shared" si="74"/>
        <v/>
      </c>
    </row>
    <row r="2326" spans="9:10">
      <c r="I2326" s="62" t="str">
        <f t="shared" si="73"/>
        <v/>
      </c>
      <c r="J2326" s="63" t="str">
        <f t="shared" si="74"/>
        <v/>
      </c>
    </row>
    <row r="2327" spans="9:10">
      <c r="I2327" s="62" t="str">
        <f t="shared" si="73"/>
        <v/>
      </c>
      <c r="J2327" s="63" t="str">
        <f t="shared" si="74"/>
        <v/>
      </c>
    </row>
    <row r="2328" spans="9:10">
      <c r="I2328" s="62" t="str">
        <f t="shared" si="73"/>
        <v/>
      </c>
      <c r="J2328" s="63" t="str">
        <f t="shared" si="74"/>
        <v/>
      </c>
    </row>
    <row r="2329" spans="9:10">
      <c r="I2329" s="62" t="str">
        <f t="shared" si="73"/>
        <v/>
      </c>
      <c r="J2329" s="63" t="str">
        <f t="shared" si="74"/>
        <v/>
      </c>
    </row>
    <row r="2330" spans="9:10">
      <c r="I2330" s="62" t="str">
        <f t="shared" si="73"/>
        <v/>
      </c>
      <c r="J2330" s="63" t="str">
        <f t="shared" si="74"/>
        <v/>
      </c>
    </row>
    <row r="2331" spans="9:10">
      <c r="I2331" s="62" t="str">
        <f t="shared" si="73"/>
        <v/>
      </c>
      <c r="J2331" s="63" t="str">
        <f t="shared" si="74"/>
        <v/>
      </c>
    </row>
    <row r="2332" spans="9:10">
      <c r="I2332" s="62" t="str">
        <f t="shared" si="73"/>
        <v/>
      </c>
      <c r="J2332" s="63" t="str">
        <f t="shared" si="74"/>
        <v/>
      </c>
    </row>
    <row r="2333" spans="9:10">
      <c r="I2333" s="62" t="str">
        <f t="shared" si="73"/>
        <v/>
      </c>
      <c r="J2333" s="63" t="str">
        <f t="shared" si="74"/>
        <v/>
      </c>
    </row>
    <row r="2334" spans="9:10">
      <c r="I2334" s="62" t="str">
        <f t="shared" si="73"/>
        <v/>
      </c>
      <c r="J2334" s="63" t="str">
        <f t="shared" si="74"/>
        <v/>
      </c>
    </row>
    <row r="2335" spans="9:10">
      <c r="I2335" s="62" t="str">
        <f t="shared" si="73"/>
        <v/>
      </c>
      <c r="J2335" s="63" t="str">
        <f t="shared" si="74"/>
        <v/>
      </c>
    </row>
    <row r="2336" spans="9:10">
      <c r="I2336" s="62" t="str">
        <f t="shared" si="73"/>
        <v/>
      </c>
      <c r="J2336" s="63" t="str">
        <f t="shared" si="74"/>
        <v/>
      </c>
    </row>
    <row r="2337" spans="9:10">
      <c r="I2337" s="62" t="str">
        <f t="shared" si="73"/>
        <v/>
      </c>
      <c r="J2337" s="63" t="str">
        <f t="shared" si="74"/>
        <v/>
      </c>
    </row>
    <row r="2338" spans="9:10">
      <c r="I2338" s="62" t="str">
        <f t="shared" si="73"/>
        <v/>
      </c>
      <c r="J2338" s="63" t="str">
        <f t="shared" si="74"/>
        <v/>
      </c>
    </row>
    <row r="2339" spans="9:10">
      <c r="I2339" s="62" t="str">
        <f t="shared" si="73"/>
        <v/>
      </c>
      <c r="J2339" s="63" t="str">
        <f t="shared" si="74"/>
        <v/>
      </c>
    </row>
    <row r="2340" spans="9:10">
      <c r="I2340" s="62" t="str">
        <f t="shared" si="73"/>
        <v/>
      </c>
      <c r="J2340" s="63" t="str">
        <f t="shared" si="74"/>
        <v/>
      </c>
    </row>
    <row r="2341" spans="9:10">
      <c r="I2341" s="62" t="str">
        <f t="shared" si="73"/>
        <v/>
      </c>
      <c r="J2341" s="63" t="str">
        <f t="shared" si="74"/>
        <v/>
      </c>
    </row>
    <row r="2342" spans="9:10">
      <c r="I2342" s="62" t="str">
        <f t="shared" si="73"/>
        <v/>
      </c>
      <c r="J2342" s="63" t="str">
        <f t="shared" si="74"/>
        <v/>
      </c>
    </row>
    <row r="2343" spans="9:10">
      <c r="I2343" s="62" t="str">
        <f t="shared" si="73"/>
        <v/>
      </c>
      <c r="J2343" s="63" t="str">
        <f t="shared" si="74"/>
        <v/>
      </c>
    </row>
    <row r="2344" spans="9:10">
      <c r="I2344" s="62" t="str">
        <f t="shared" si="73"/>
        <v/>
      </c>
      <c r="J2344" s="63" t="str">
        <f t="shared" si="74"/>
        <v/>
      </c>
    </row>
    <row r="2345" spans="9:10">
      <c r="I2345" s="62" t="str">
        <f t="shared" si="73"/>
        <v/>
      </c>
      <c r="J2345" s="63" t="str">
        <f t="shared" si="74"/>
        <v/>
      </c>
    </row>
    <row r="2346" spans="9:10">
      <c r="I2346" s="62" t="str">
        <f t="shared" si="73"/>
        <v/>
      </c>
      <c r="J2346" s="63" t="str">
        <f t="shared" si="74"/>
        <v/>
      </c>
    </row>
    <row r="2347" spans="9:10">
      <c r="I2347" s="62" t="str">
        <f t="shared" si="73"/>
        <v/>
      </c>
      <c r="J2347" s="63" t="str">
        <f t="shared" si="74"/>
        <v/>
      </c>
    </row>
    <row r="2348" spans="9:10">
      <c r="I2348" s="62" t="str">
        <f t="shared" si="73"/>
        <v/>
      </c>
      <c r="J2348" s="63" t="str">
        <f t="shared" si="74"/>
        <v/>
      </c>
    </row>
    <row r="2349" spans="9:10">
      <c r="I2349" s="62" t="str">
        <f t="shared" si="73"/>
        <v/>
      </c>
      <c r="J2349" s="63" t="str">
        <f t="shared" si="74"/>
        <v/>
      </c>
    </row>
    <row r="2350" spans="9:10">
      <c r="I2350" s="62" t="str">
        <f t="shared" si="73"/>
        <v/>
      </c>
      <c r="J2350" s="63" t="str">
        <f t="shared" si="74"/>
        <v/>
      </c>
    </row>
    <row r="2351" spans="9:10">
      <c r="I2351" s="62" t="str">
        <f t="shared" si="73"/>
        <v/>
      </c>
      <c r="J2351" s="63" t="str">
        <f t="shared" si="74"/>
        <v/>
      </c>
    </row>
    <row r="2352" spans="9:10">
      <c r="I2352" s="62" t="str">
        <f t="shared" si="73"/>
        <v/>
      </c>
      <c r="J2352" s="63" t="str">
        <f t="shared" si="74"/>
        <v/>
      </c>
    </row>
    <row r="2353" spans="9:10">
      <c r="I2353" s="62" t="str">
        <f t="shared" si="73"/>
        <v/>
      </c>
      <c r="J2353" s="63" t="str">
        <f t="shared" si="74"/>
        <v/>
      </c>
    </row>
    <row r="2354" spans="9:10">
      <c r="I2354" s="62" t="str">
        <f t="shared" si="73"/>
        <v/>
      </c>
      <c r="J2354" s="63" t="str">
        <f t="shared" si="74"/>
        <v/>
      </c>
    </row>
    <row r="2355" spans="9:10">
      <c r="I2355" s="62" t="str">
        <f t="shared" si="73"/>
        <v/>
      </c>
      <c r="J2355" s="63" t="str">
        <f t="shared" si="74"/>
        <v/>
      </c>
    </row>
    <row r="2356" spans="9:10">
      <c r="I2356" s="62" t="str">
        <f t="shared" si="73"/>
        <v/>
      </c>
      <c r="J2356" s="63" t="str">
        <f t="shared" si="74"/>
        <v/>
      </c>
    </row>
    <row r="2357" spans="9:10">
      <c r="I2357" s="62" t="str">
        <f t="shared" si="73"/>
        <v/>
      </c>
      <c r="J2357" s="63" t="str">
        <f t="shared" si="74"/>
        <v/>
      </c>
    </row>
    <row r="2358" spans="9:10">
      <c r="I2358" s="62" t="str">
        <f t="shared" si="73"/>
        <v/>
      </c>
      <c r="J2358" s="63" t="str">
        <f t="shared" si="74"/>
        <v/>
      </c>
    </row>
    <row r="2359" spans="9:10">
      <c r="I2359" s="62" t="str">
        <f t="shared" si="73"/>
        <v/>
      </c>
      <c r="J2359" s="63" t="str">
        <f t="shared" si="74"/>
        <v/>
      </c>
    </row>
    <row r="2360" spans="9:10">
      <c r="I2360" s="62" t="str">
        <f t="shared" si="73"/>
        <v/>
      </c>
      <c r="J2360" s="63" t="str">
        <f t="shared" si="74"/>
        <v/>
      </c>
    </row>
    <row r="2361" spans="9:10">
      <c r="I2361" s="62" t="str">
        <f t="shared" si="73"/>
        <v/>
      </c>
      <c r="J2361" s="63" t="str">
        <f t="shared" si="74"/>
        <v/>
      </c>
    </row>
    <row r="2362" spans="9:10">
      <c r="I2362" s="62" t="str">
        <f t="shared" si="73"/>
        <v/>
      </c>
      <c r="J2362" s="63" t="str">
        <f t="shared" si="74"/>
        <v/>
      </c>
    </row>
    <row r="2363" spans="9:10">
      <c r="I2363" s="62" t="str">
        <f t="shared" si="73"/>
        <v/>
      </c>
      <c r="J2363" s="63" t="str">
        <f t="shared" si="74"/>
        <v/>
      </c>
    </row>
    <row r="2364" spans="9:10">
      <c r="I2364" s="62" t="str">
        <f t="shared" si="73"/>
        <v/>
      </c>
      <c r="J2364" s="63" t="str">
        <f t="shared" si="74"/>
        <v/>
      </c>
    </row>
    <row r="2365" spans="9:10">
      <c r="I2365" s="62" t="str">
        <f t="shared" si="73"/>
        <v/>
      </c>
      <c r="J2365" s="63" t="str">
        <f t="shared" si="74"/>
        <v/>
      </c>
    </row>
    <row r="2366" spans="9:10">
      <c r="I2366" s="62" t="str">
        <f t="shared" si="73"/>
        <v/>
      </c>
      <c r="J2366" s="63" t="str">
        <f t="shared" si="74"/>
        <v/>
      </c>
    </row>
    <row r="2367" spans="9:10">
      <c r="I2367" s="62" t="str">
        <f t="shared" si="73"/>
        <v/>
      </c>
      <c r="J2367" s="63" t="str">
        <f t="shared" si="74"/>
        <v/>
      </c>
    </row>
    <row r="2368" spans="9:10">
      <c r="I2368" s="62" t="str">
        <f t="shared" si="73"/>
        <v/>
      </c>
      <c r="J2368" s="63" t="str">
        <f t="shared" si="74"/>
        <v/>
      </c>
    </row>
    <row r="2369" spans="9:10">
      <c r="I2369" s="62" t="str">
        <f t="shared" si="73"/>
        <v/>
      </c>
      <c r="J2369" s="63" t="str">
        <f t="shared" si="74"/>
        <v/>
      </c>
    </row>
    <row r="2370" spans="9:10">
      <c r="I2370" s="62" t="str">
        <f t="shared" si="73"/>
        <v/>
      </c>
      <c r="J2370" s="63" t="str">
        <f t="shared" si="74"/>
        <v/>
      </c>
    </row>
    <row r="2371" spans="9:10">
      <c r="I2371" s="62" t="str">
        <f t="shared" si="73"/>
        <v/>
      </c>
      <c r="J2371" s="63" t="str">
        <f t="shared" si="74"/>
        <v/>
      </c>
    </row>
    <row r="2372" spans="9:10">
      <c r="I2372" s="62" t="str">
        <f t="shared" si="73"/>
        <v/>
      </c>
      <c r="J2372" s="63" t="str">
        <f t="shared" si="74"/>
        <v/>
      </c>
    </row>
    <row r="2373" spans="9:10">
      <c r="I2373" s="62" t="str">
        <f t="shared" si="73"/>
        <v/>
      </c>
      <c r="J2373" s="63" t="str">
        <f t="shared" si="74"/>
        <v/>
      </c>
    </row>
    <row r="2374" spans="9:10">
      <c r="I2374" s="62" t="str">
        <f t="shared" si="73"/>
        <v/>
      </c>
      <c r="J2374" s="63" t="str">
        <f t="shared" si="74"/>
        <v/>
      </c>
    </row>
    <row r="2375" spans="9:10">
      <c r="I2375" s="62" t="str">
        <f t="shared" si="73"/>
        <v/>
      </c>
      <c r="J2375" s="63" t="str">
        <f t="shared" si="74"/>
        <v/>
      </c>
    </row>
    <row r="2376" spans="9:10">
      <c r="I2376" s="62" t="str">
        <f t="shared" si="73"/>
        <v/>
      </c>
      <c r="J2376" s="63" t="str">
        <f t="shared" si="74"/>
        <v/>
      </c>
    </row>
    <row r="2377" spans="9:10">
      <c r="I2377" s="62" t="str">
        <f t="shared" si="73"/>
        <v/>
      </c>
      <c r="J2377" s="63" t="str">
        <f t="shared" si="74"/>
        <v/>
      </c>
    </row>
    <row r="2378" spans="9:10">
      <c r="I2378" s="62" t="str">
        <f t="shared" si="73"/>
        <v/>
      </c>
      <c r="J2378" s="63" t="str">
        <f t="shared" si="74"/>
        <v/>
      </c>
    </row>
    <row r="2379" spans="9:10">
      <c r="I2379" s="62" t="str">
        <f t="shared" si="73"/>
        <v/>
      </c>
      <c r="J2379" s="63" t="str">
        <f t="shared" si="74"/>
        <v/>
      </c>
    </row>
    <row r="2380" spans="9:10">
      <c r="I2380" s="62" t="str">
        <f t="shared" ref="I2380:I2443" si="75">IF(B2380="","",IF(B2380="Total",I2378,IF(B2378="Total",I2378, IF(ISNUMBER(A2380),A2380,I2379))))</f>
        <v/>
      </c>
      <c r="J2380" s="63" t="str">
        <f t="shared" si="74"/>
        <v/>
      </c>
    </row>
    <row r="2381" spans="9:10">
      <c r="I2381" s="62" t="str">
        <f t="shared" si="75"/>
        <v/>
      </c>
      <c r="J2381" s="63" t="str">
        <f t="shared" si="74"/>
        <v/>
      </c>
    </row>
    <row r="2382" spans="9:10">
      <c r="I2382" s="62" t="str">
        <f t="shared" si="75"/>
        <v/>
      </c>
      <c r="J2382" s="63" t="str">
        <f t="shared" si="74"/>
        <v/>
      </c>
    </row>
    <row r="2383" spans="9:10">
      <c r="I2383" s="62" t="str">
        <f t="shared" si="75"/>
        <v/>
      </c>
      <c r="J2383" s="63" t="str">
        <f t="shared" ref="J2383:J2446" si="76">IF(B2383="","",IF(B2383="Total",J2381,IF(B2381="Total",J2381,IF(A2383="",J2382,IF(ISNUMBER(A2382),B2382,IF(ISNUMBER(A2383),B2383,J2382))))))</f>
        <v/>
      </c>
    </row>
    <row r="2384" spans="9:10">
      <c r="I2384" s="62" t="str">
        <f t="shared" si="75"/>
        <v/>
      </c>
      <c r="J2384" s="63" t="str">
        <f t="shared" si="76"/>
        <v/>
      </c>
    </row>
    <row r="2385" spans="9:10">
      <c r="I2385" s="62" t="str">
        <f t="shared" si="75"/>
        <v/>
      </c>
      <c r="J2385" s="63" t="str">
        <f t="shared" si="76"/>
        <v/>
      </c>
    </row>
    <row r="2386" spans="9:10">
      <c r="I2386" s="62" t="str">
        <f t="shared" si="75"/>
        <v/>
      </c>
      <c r="J2386" s="63" t="str">
        <f t="shared" si="76"/>
        <v/>
      </c>
    </row>
    <row r="2387" spans="9:10">
      <c r="I2387" s="62" t="str">
        <f t="shared" si="75"/>
        <v/>
      </c>
      <c r="J2387" s="63" t="str">
        <f t="shared" si="76"/>
        <v/>
      </c>
    </row>
    <row r="2388" spans="9:10">
      <c r="I2388" s="62" t="str">
        <f t="shared" si="75"/>
        <v/>
      </c>
      <c r="J2388" s="63" t="str">
        <f t="shared" si="76"/>
        <v/>
      </c>
    </row>
    <row r="2389" spans="9:10">
      <c r="I2389" s="62" t="str">
        <f t="shared" si="75"/>
        <v/>
      </c>
      <c r="J2389" s="63" t="str">
        <f t="shared" si="76"/>
        <v/>
      </c>
    </row>
    <row r="2390" spans="9:10">
      <c r="I2390" s="62" t="str">
        <f t="shared" si="75"/>
        <v/>
      </c>
      <c r="J2390" s="63" t="str">
        <f t="shared" si="76"/>
        <v/>
      </c>
    </row>
    <row r="2391" spans="9:10">
      <c r="I2391" s="62" t="str">
        <f t="shared" si="75"/>
        <v/>
      </c>
      <c r="J2391" s="63" t="str">
        <f t="shared" si="76"/>
        <v/>
      </c>
    </row>
    <row r="2392" spans="9:10">
      <c r="I2392" s="62" t="str">
        <f t="shared" si="75"/>
        <v/>
      </c>
      <c r="J2392" s="63" t="str">
        <f t="shared" si="76"/>
        <v/>
      </c>
    </row>
    <row r="2393" spans="9:10">
      <c r="I2393" s="62" t="str">
        <f t="shared" si="75"/>
        <v/>
      </c>
      <c r="J2393" s="63" t="str">
        <f t="shared" si="76"/>
        <v/>
      </c>
    </row>
    <row r="2394" spans="9:10">
      <c r="I2394" s="62" t="str">
        <f t="shared" si="75"/>
        <v/>
      </c>
      <c r="J2394" s="63" t="str">
        <f t="shared" si="76"/>
        <v/>
      </c>
    </row>
    <row r="2395" spans="9:10">
      <c r="I2395" s="62" t="str">
        <f t="shared" si="75"/>
        <v/>
      </c>
      <c r="J2395" s="63" t="str">
        <f t="shared" si="76"/>
        <v/>
      </c>
    </row>
    <row r="2396" spans="9:10">
      <c r="I2396" s="62" t="str">
        <f t="shared" si="75"/>
        <v/>
      </c>
      <c r="J2396" s="63" t="str">
        <f t="shared" si="76"/>
        <v/>
      </c>
    </row>
    <row r="2397" spans="9:10">
      <c r="I2397" s="62" t="str">
        <f t="shared" si="75"/>
        <v/>
      </c>
      <c r="J2397" s="63" t="str">
        <f t="shared" si="76"/>
        <v/>
      </c>
    </row>
    <row r="2398" spans="9:10">
      <c r="I2398" s="62" t="str">
        <f t="shared" si="75"/>
        <v/>
      </c>
      <c r="J2398" s="63" t="str">
        <f t="shared" si="76"/>
        <v/>
      </c>
    </row>
    <row r="2399" spans="9:10">
      <c r="I2399" s="62" t="str">
        <f t="shared" si="75"/>
        <v/>
      </c>
      <c r="J2399" s="63" t="str">
        <f t="shared" si="76"/>
        <v/>
      </c>
    </row>
    <row r="2400" spans="9:10">
      <c r="I2400" s="62" t="str">
        <f t="shared" si="75"/>
        <v/>
      </c>
      <c r="J2400" s="63" t="str">
        <f t="shared" si="76"/>
        <v/>
      </c>
    </row>
    <row r="2401" spans="9:10">
      <c r="I2401" s="62" t="str">
        <f t="shared" si="75"/>
        <v/>
      </c>
      <c r="J2401" s="63" t="str">
        <f t="shared" si="76"/>
        <v/>
      </c>
    </row>
    <row r="2402" spans="9:10">
      <c r="I2402" s="62" t="str">
        <f t="shared" si="75"/>
        <v/>
      </c>
      <c r="J2402" s="63" t="str">
        <f t="shared" si="76"/>
        <v/>
      </c>
    </row>
    <row r="2403" spans="9:10">
      <c r="I2403" s="62" t="str">
        <f t="shared" si="75"/>
        <v/>
      </c>
      <c r="J2403" s="63" t="str">
        <f t="shared" si="76"/>
        <v/>
      </c>
    </row>
    <row r="2404" spans="9:10">
      <c r="I2404" s="62" t="str">
        <f t="shared" si="75"/>
        <v/>
      </c>
      <c r="J2404" s="63" t="str">
        <f t="shared" si="76"/>
        <v/>
      </c>
    </row>
    <row r="2405" spans="9:10">
      <c r="I2405" s="62" t="str">
        <f t="shared" si="75"/>
        <v/>
      </c>
      <c r="J2405" s="63" t="str">
        <f t="shared" si="76"/>
        <v/>
      </c>
    </row>
    <row r="2406" spans="9:10">
      <c r="I2406" s="62" t="str">
        <f t="shared" si="75"/>
        <v/>
      </c>
      <c r="J2406" s="63" t="str">
        <f t="shared" si="76"/>
        <v/>
      </c>
    </row>
    <row r="2407" spans="9:10">
      <c r="I2407" s="62" t="str">
        <f t="shared" si="75"/>
        <v/>
      </c>
      <c r="J2407" s="63" t="str">
        <f t="shared" si="76"/>
        <v/>
      </c>
    </row>
    <row r="2408" spans="9:10">
      <c r="I2408" s="62" t="str">
        <f t="shared" si="75"/>
        <v/>
      </c>
      <c r="J2408" s="63" t="str">
        <f t="shared" si="76"/>
        <v/>
      </c>
    </row>
    <row r="2409" spans="9:10">
      <c r="I2409" s="62" t="str">
        <f t="shared" si="75"/>
        <v/>
      </c>
      <c r="J2409" s="63" t="str">
        <f t="shared" si="76"/>
        <v/>
      </c>
    </row>
    <row r="2410" spans="9:10">
      <c r="I2410" s="62" t="str">
        <f t="shared" si="75"/>
        <v/>
      </c>
      <c r="J2410" s="63" t="str">
        <f t="shared" si="76"/>
        <v/>
      </c>
    </row>
    <row r="2411" spans="9:10">
      <c r="I2411" s="62" t="str">
        <f t="shared" si="75"/>
        <v/>
      </c>
      <c r="J2411" s="63" t="str">
        <f t="shared" si="76"/>
        <v/>
      </c>
    </row>
    <row r="2412" spans="9:10">
      <c r="I2412" s="62" t="str">
        <f t="shared" si="75"/>
        <v/>
      </c>
      <c r="J2412" s="63" t="str">
        <f t="shared" si="76"/>
        <v/>
      </c>
    </row>
    <row r="2413" spans="9:10">
      <c r="I2413" s="62" t="str">
        <f t="shared" si="75"/>
        <v/>
      </c>
      <c r="J2413" s="63" t="str">
        <f t="shared" si="76"/>
        <v/>
      </c>
    </row>
    <row r="2414" spans="9:10">
      <c r="I2414" s="62" t="str">
        <f t="shared" si="75"/>
        <v/>
      </c>
      <c r="J2414" s="63" t="str">
        <f t="shared" si="76"/>
        <v/>
      </c>
    </row>
    <row r="2415" spans="9:10">
      <c r="I2415" s="62" t="str">
        <f t="shared" si="75"/>
        <v/>
      </c>
      <c r="J2415" s="63" t="str">
        <f t="shared" si="76"/>
        <v/>
      </c>
    </row>
    <row r="2416" spans="9:10">
      <c r="I2416" s="62" t="str">
        <f t="shared" si="75"/>
        <v/>
      </c>
      <c r="J2416" s="63" t="str">
        <f t="shared" si="76"/>
        <v/>
      </c>
    </row>
    <row r="2417" spans="9:10">
      <c r="I2417" s="62" t="str">
        <f t="shared" si="75"/>
        <v/>
      </c>
      <c r="J2417" s="63" t="str">
        <f t="shared" si="76"/>
        <v/>
      </c>
    </row>
    <row r="2418" spans="9:10">
      <c r="I2418" s="62" t="str">
        <f t="shared" si="75"/>
        <v/>
      </c>
      <c r="J2418" s="63" t="str">
        <f t="shared" si="76"/>
        <v/>
      </c>
    </row>
    <row r="2419" spans="9:10">
      <c r="I2419" s="62" t="str">
        <f t="shared" si="75"/>
        <v/>
      </c>
      <c r="J2419" s="63" t="str">
        <f t="shared" si="76"/>
        <v/>
      </c>
    </row>
    <row r="2420" spans="9:10">
      <c r="I2420" s="62" t="str">
        <f t="shared" si="75"/>
        <v/>
      </c>
      <c r="J2420" s="63" t="str">
        <f t="shared" si="76"/>
        <v/>
      </c>
    </row>
    <row r="2421" spans="9:10">
      <c r="I2421" s="62" t="str">
        <f t="shared" si="75"/>
        <v/>
      </c>
      <c r="J2421" s="63" t="str">
        <f t="shared" si="76"/>
        <v/>
      </c>
    </row>
    <row r="2422" spans="9:10">
      <c r="I2422" s="62" t="str">
        <f t="shared" si="75"/>
        <v/>
      </c>
      <c r="J2422" s="63" t="str">
        <f t="shared" si="76"/>
        <v/>
      </c>
    </row>
    <row r="2423" spans="9:10">
      <c r="I2423" s="62" t="str">
        <f t="shared" si="75"/>
        <v/>
      </c>
      <c r="J2423" s="63" t="str">
        <f t="shared" si="76"/>
        <v/>
      </c>
    </row>
    <row r="2424" spans="9:10">
      <c r="I2424" s="62" t="str">
        <f t="shared" si="75"/>
        <v/>
      </c>
      <c r="J2424" s="63" t="str">
        <f t="shared" si="76"/>
        <v/>
      </c>
    </row>
    <row r="2425" spans="9:10">
      <c r="I2425" s="62" t="str">
        <f t="shared" si="75"/>
        <v/>
      </c>
      <c r="J2425" s="63" t="str">
        <f t="shared" si="76"/>
        <v/>
      </c>
    </row>
    <row r="2426" spans="9:10">
      <c r="I2426" s="62" t="str">
        <f t="shared" si="75"/>
        <v/>
      </c>
      <c r="J2426" s="63" t="str">
        <f t="shared" si="76"/>
        <v/>
      </c>
    </row>
    <row r="2427" spans="9:10">
      <c r="I2427" s="62" t="str">
        <f t="shared" si="75"/>
        <v/>
      </c>
      <c r="J2427" s="63" t="str">
        <f t="shared" si="76"/>
        <v/>
      </c>
    </row>
    <row r="2428" spans="9:10">
      <c r="I2428" s="62" t="str">
        <f t="shared" si="75"/>
        <v/>
      </c>
      <c r="J2428" s="63" t="str">
        <f t="shared" si="76"/>
        <v/>
      </c>
    </row>
    <row r="2429" spans="9:10">
      <c r="I2429" s="62" t="str">
        <f t="shared" si="75"/>
        <v/>
      </c>
      <c r="J2429" s="63" t="str">
        <f t="shared" si="76"/>
        <v/>
      </c>
    </row>
    <row r="2430" spans="9:10">
      <c r="I2430" s="62" t="str">
        <f t="shared" si="75"/>
        <v/>
      </c>
      <c r="J2430" s="63" t="str">
        <f t="shared" si="76"/>
        <v/>
      </c>
    </row>
    <row r="2431" spans="9:10">
      <c r="I2431" s="62" t="str">
        <f t="shared" si="75"/>
        <v/>
      </c>
      <c r="J2431" s="63" t="str">
        <f t="shared" si="76"/>
        <v/>
      </c>
    </row>
    <row r="2432" spans="9:10">
      <c r="I2432" s="62" t="str">
        <f t="shared" si="75"/>
        <v/>
      </c>
      <c r="J2432" s="63" t="str">
        <f t="shared" si="76"/>
        <v/>
      </c>
    </row>
    <row r="2433" spans="9:10">
      <c r="I2433" s="62" t="str">
        <f t="shared" si="75"/>
        <v/>
      </c>
      <c r="J2433" s="63" t="str">
        <f t="shared" si="76"/>
        <v/>
      </c>
    </row>
    <row r="2434" spans="9:10">
      <c r="I2434" s="62" t="str">
        <f t="shared" si="75"/>
        <v/>
      </c>
      <c r="J2434" s="63" t="str">
        <f t="shared" si="76"/>
        <v/>
      </c>
    </row>
    <row r="2435" spans="9:10">
      <c r="I2435" s="62" t="str">
        <f t="shared" si="75"/>
        <v/>
      </c>
      <c r="J2435" s="63" t="str">
        <f t="shared" si="76"/>
        <v/>
      </c>
    </row>
    <row r="2436" spans="9:10">
      <c r="I2436" s="62" t="str">
        <f t="shared" si="75"/>
        <v/>
      </c>
      <c r="J2436" s="63" t="str">
        <f t="shared" si="76"/>
        <v/>
      </c>
    </row>
    <row r="2437" spans="9:10">
      <c r="I2437" s="62" t="str">
        <f t="shared" si="75"/>
        <v/>
      </c>
      <c r="J2437" s="63" t="str">
        <f t="shared" si="76"/>
        <v/>
      </c>
    </row>
    <row r="2438" spans="9:10">
      <c r="I2438" s="62" t="str">
        <f t="shared" si="75"/>
        <v/>
      </c>
      <c r="J2438" s="63" t="str">
        <f t="shared" si="76"/>
        <v/>
      </c>
    </row>
    <row r="2439" spans="9:10">
      <c r="I2439" s="62" t="str">
        <f t="shared" si="75"/>
        <v/>
      </c>
      <c r="J2439" s="63" t="str">
        <f t="shared" si="76"/>
        <v/>
      </c>
    </row>
    <row r="2440" spans="9:10">
      <c r="I2440" s="62" t="str">
        <f t="shared" si="75"/>
        <v/>
      </c>
      <c r="J2440" s="63" t="str">
        <f t="shared" si="76"/>
        <v/>
      </c>
    </row>
    <row r="2441" spans="9:10">
      <c r="I2441" s="62" t="str">
        <f t="shared" si="75"/>
        <v/>
      </c>
      <c r="J2441" s="63" t="str">
        <f t="shared" si="76"/>
        <v/>
      </c>
    </row>
    <row r="2442" spans="9:10">
      <c r="I2442" s="62" t="str">
        <f t="shared" si="75"/>
        <v/>
      </c>
      <c r="J2442" s="63" t="str">
        <f t="shared" si="76"/>
        <v/>
      </c>
    </row>
    <row r="2443" spans="9:10">
      <c r="I2443" s="62" t="str">
        <f t="shared" si="75"/>
        <v/>
      </c>
      <c r="J2443" s="63" t="str">
        <f t="shared" si="76"/>
        <v/>
      </c>
    </row>
    <row r="2444" spans="9:10">
      <c r="I2444" s="62" t="str">
        <f t="shared" ref="I2444:I2507" si="77">IF(B2444="","",IF(B2444="Total",I2442,IF(B2442="Total",I2442, IF(ISNUMBER(A2444),A2444,I2443))))</f>
        <v/>
      </c>
      <c r="J2444" s="63" t="str">
        <f t="shared" si="76"/>
        <v/>
      </c>
    </row>
    <row r="2445" spans="9:10">
      <c r="I2445" s="62" t="str">
        <f t="shared" si="77"/>
        <v/>
      </c>
      <c r="J2445" s="63" t="str">
        <f t="shared" si="76"/>
        <v/>
      </c>
    </row>
    <row r="2446" spans="9:10">
      <c r="I2446" s="62" t="str">
        <f t="shared" si="77"/>
        <v/>
      </c>
      <c r="J2446" s="63" t="str">
        <f t="shared" si="76"/>
        <v/>
      </c>
    </row>
    <row r="2447" spans="9:10">
      <c r="I2447" s="62" t="str">
        <f t="shared" si="77"/>
        <v/>
      </c>
      <c r="J2447" s="63" t="str">
        <f t="shared" ref="J2447:J2510" si="78">IF(B2447="","",IF(B2447="Total",J2445,IF(B2445="Total",J2445,IF(A2447="",J2446,IF(ISNUMBER(A2446),B2446,IF(ISNUMBER(A2447),B2447,J2446))))))</f>
        <v/>
      </c>
    </row>
    <row r="2448" spans="9:10">
      <c r="I2448" s="62" t="str">
        <f t="shared" si="77"/>
        <v/>
      </c>
      <c r="J2448" s="63" t="str">
        <f t="shared" si="78"/>
        <v/>
      </c>
    </row>
    <row r="2449" spans="9:10">
      <c r="I2449" s="62" t="str">
        <f t="shared" si="77"/>
        <v/>
      </c>
      <c r="J2449" s="63" t="str">
        <f t="shared" si="78"/>
        <v/>
      </c>
    </row>
    <row r="2450" spans="9:10">
      <c r="I2450" s="62" t="str">
        <f t="shared" si="77"/>
        <v/>
      </c>
      <c r="J2450" s="63" t="str">
        <f t="shared" si="78"/>
        <v/>
      </c>
    </row>
    <row r="2451" spans="9:10">
      <c r="I2451" s="62" t="str">
        <f t="shared" si="77"/>
        <v/>
      </c>
      <c r="J2451" s="63" t="str">
        <f t="shared" si="78"/>
        <v/>
      </c>
    </row>
    <row r="2452" spans="9:10">
      <c r="I2452" s="62" t="str">
        <f t="shared" si="77"/>
        <v/>
      </c>
      <c r="J2452" s="63" t="str">
        <f t="shared" si="78"/>
        <v/>
      </c>
    </row>
    <row r="2453" spans="9:10">
      <c r="I2453" s="62" t="str">
        <f t="shared" si="77"/>
        <v/>
      </c>
      <c r="J2453" s="63" t="str">
        <f t="shared" si="78"/>
        <v/>
      </c>
    </row>
    <row r="2454" spans="9:10">
      <c r="I2454" s="62" t="str">
        <f t="shared" si="77"/>
        <v/>
      </c>
      <c r="J2454" s="63" t="str">
        <f t="shared" si="78"/>
        <v/>
      </c>
    </row>
    <row r="2455" spans="9:10">
      <c r="I2455" s="62" t="str">
        <f t="shared" si="77"/>
        <v/>
      </c>
      <c r="J2455" s="63" t="str">
        <f t="shared" si="78"/>
        <v/>
      </c>
    </row>
    <row r="2456" spans="9:10">
      <c r="I2456" s="62" t="str">
        <f t="shared" si="77"/>
        <v/>
      </c>
      <c r="J2456" s="63" t="str">
        <f t="shared" si="78"/>
        <v/>
      </c>
    </row>
    <row r="2457" spans="9:10">
      <c r="I2457" s="62" t="str">
        <f t="shared" si="77"/>
        <v/>
      </c>
      <c r="J2457" s="63" t="str">
        <f t="shared" si="78"/>
        <v/>
      </c>
    </row>
    <row r="2458" spans="9:10">
      <c r="I2458" s="62" t="str">
        <f t="shared" si="77"/>
        <v/>
      </c>
      <c r="J2458" s="63" t="str">
        <f t="shared" si="78"/>
        <v/>
      </c>
    </row>
    <row r="2459" spans="9:10">
      <c r="I2459" s="62" t="str">
        <f t="shared" si="77"/>
        <v/>
      </c>
      <c r="J2459" s="63" t="str">
        <f t="shared" si="78"/>
        <v/>
      </c>
    </row>
    <row r="2460" spans="9:10">
      <c r="I2460" s="62" t="str">
        <f t="shared" si="77"/>
        <v/>
      </c>
      <c r="J2460" s="63" t="str">
        <f t="shared" si="78"/>
        <v/>
      </c>
    </row>
    <row r="2461" spans="9:10">
      <c r="I2461" s="62" t="str">
        <f t="shared" si="77"/>
        <v/>
      </c>
      <c r="J2461" s="63" t="str">
        <f t="shared" si="78"/>
        <v/>
      </c>
    </row>
    <row r="2462" spans="9:10">
      <c r="I2462" s="62" t="str">
        <f t="shared" si="77"/>
        <v/>
      </c>
      <c r="J2462" s="63" t="str">
        <f t="shared" si="78"/>
        <v/>
      </c>
    </row>
    <row r="2463" spans="9:10">
      <c r="I2463" s="62" t="str">
        <f t="shared" si="77"/>
        <v/>
      </c>
      <c r="J2463" s="63" t="str">
        <f t="shared" si="78"/>
        <v/>
      </c>
    </row>
    <row r="2464" spans="9:10">
      <c r="I2464" s="62" t="str">
        <f t="shared" si="77"/>
        <v/>
      </c>
      <c r="J2464" s="63" t="str">
        <f t="shared" si="78"/>
        <v/>
      </c>
    </row>
    <row r="2465" spans="9:10">
      <c r="I2465" s="62" t="str">
        <f t="shared" si="77"/>
        <v/>
      </c>
      <c r="J2465" s="63" t="str">
        <f t="shared" si="78"/>
        <v/>
      </c>
    </row>
    <row r="2466" spans="9:10">
      <c r="I2466" s="62" t="str">
        <f t="shared" si="77"/>
        <v/>
      </c>
      <c r="J2466" s="63" t="str">
        <f t="shared" si="78"/>
        <v/>
      </c>
    </row>
    <row r="2467" spans="9:10">
      <c r="I2467" s="62" t="str">
        <f t="shared" si="77"/>
        <v/>
      </c>
      <c r="J2467" s="63" t="str">
        <f t="shared" si="78"/>
        <v/>
      </c>
    </row>
    <row r="2468" spans="9:10">
      <c r="I2468" s="62" t="str">
        <f t="shared" si="77"/>
        <v/>
      </c>
      <c r="J2468" s="63" t="str">
        <f t="shared" si="78"/>
        <v/>
      </c>
    </row>
    <row r="2469" spans="9:10">
      <c r="I2469" s="62" t="str">
        <f t="shared" si="77"/>
        <v/>
      </c>
      <c r="J2469" s="63" t="str">
        <f t="shared" si="78"/>
        <v/>
      </c>
    </row>
    <row r="2470" spans="9:10">
      <c r="I2470" s="62" t="str">
        <f t="shared" si="77"/>
        <v/>
      </c>
      <c r="J2470" s="63" t="str">
        <f t="shared" si="78"/>
        <v/>
      </c>
    </row>
    <row r="2471" spans="9:10">
      <c r="I2471" s="62" t="str">
        <f t="shared" si="77"/>
        <v/>
      </c>
      <c r="J2471" s="63" t="str">
        <f t="shared" si="78"/>
        <v/>
      </c>
    </row>
    <row r="2472" spans="9:10">
      <c r="I2472" s="62" t="str">
        <f t="shared" si="77"/>
        <v/>
      </c>
      <c r="J2472" s="63" t="str">
        <f t="shared" si="78"/>
        <v/>
      </c>
    </row>
    <row r="2473" spans="9:10">
      <c r="I2473" s="62" t="str">
        <f t="shared" si="77"/>
        <v/>
      </c>
      <c r="J2473" s="63" t="str">
        <f t="shared" si="78"/>
        <v/>
      </c>
    </row>
    <row r="2474" spans="9:10">
      <c r="I2474" s="62" t="str">
        <f t="shared" si="77"/>
        <v/>
      </c>
      <c r="J2474" s="63" t="str">
        <f t="shared" si="78"/>
        <v/>
      </c>
    </row>
    <row r="2475" spans="9:10">
      <c r="I2475" s="62" t="str">
        <f t="shared" si="77"/>
        <v/>
      </c>
      <c r="J2475" s="63" t="str">
        <f t="shared" si="78"/>
        <v/>
      </c>
    </row>
    <row r="2476" spans="9:10">
      <c r="I2476" s="62" t="str">
        <f t="shared" si="77"/>
        <v/>
      </c>
      <c r="J2476" s="63" t="str">
        <f t="shared" si="78"/>
        <v/>
      </c>
    </row>
    <row r="2477" spans="9:10">
      <c r="I2477" s="62" t="str">
        <f t="shared" si="77"/>
        <v/>
      </c>
      <c r="J2477" s="63" t="str">
        <f t="shared" si="78"/>
        <v/>
      </c>
    </row>
    <row r="2478" spans="9:10">
      <c r="I2478" s="62" t="str">
        <f t="shared" si="77"/>
        <v/>
      </c>
      <c r="J2478" s="63" t="str">
        <f t="shared" si="78"/>
        <v/>
      </c>
    </row>
    <row r="2479" spans="9:10">
      <c r="I2479" s="62" t="str">
        <f t="shared" si="77"/>
        <v/>
      </c>
      <c r="J2479" s="63" t="str">
        <f t="shared" si="78"/>
        <v/>
      </c>
    </row>
    <row r="2480" spans="9:10">
      <c r="I2480" s="62" t="str">
        <f t="shared" si="77"/>
        <v/>
      </c>
      <c r="J2480" s="63" t="str">
        <f t="shared" si="78"/>
        <v/>
      </c>
    </row>
    <row r="2481" spans="9:10">
      <c r="I2481" s="62" t="str">
        <f t="shared" si="77"/>
        <v/>
      </c>
      <c r="J2481" s="63" t="str">
        <f t="shared" si="78"/>
        <v/>
      </c>
    </row>
    <row r="2482" spans="9:10">
      <c r="I2482" s="62" t="str">
        <f t="shared" si="77"/>
        <v/>
      </c>
      <c r="J2482" s="63" t="str">
        <f t="shared" si="78"/>
        <v/>
      </c>
    </row>
    <row r="2483" spans="9:10">
      <c r="I2483" s="62" t="str">
        <f t="shared" si="77"/>
        <v/>
      </c>
      <c r="J2483" s="63" t="str">
        <f t="shared" si="78"/>
        <v/>
      </c>
    </row>
    <row r="2484" spans="9:10">
      <c r="I2484" s="62" t="str">
        <f t="shared" si="77"/>
        <v/>
      </c>
      <c r="J2484" s="63" t="str">
        <f t="shared" si="78"/>
        <v/>
      </c>
    </row>
    <row r="2485" spans="9:10">
      <c r="I2485" s="62" t="str">
        <f t="shared" si="77"/>
        <v/>
      </c>
      <c r="J2485" s="63" t="str">
        <f t="shared" si="78"/>
        <v/>
      </c>
    </row>
    <row r="2486" spans="9:10">
      <c r="I2486" s="62" t="str">
        <f t="shared" si="77"/>
        <v/>
      </c>
      <c r="J2486" s="63" t="str">
        <f t="shared" si="78"/>
        <v/>
      </c>
    </row>
    <row r="2487" spans="9:10">
      <c r="I2487" s="62" t="str">
        <f t="shared" si="77"/>
        <v/>
      </c>
      <c r="J2487" s="63" t="str">
        <f t="shared" si="78"/>
        <v/>
      </c>
    </row>
    <row r="2488" spans="9:10">
      <c r="I2488" s="62" t="str">
        <f t="shared" si="77"/>
        <v/>
      </c>
      <c r="J2488" s="63" t="str">
        <f t="shared" si="78"/>
        <v/>
      </c>
    </row>
    <row r="2489" spans="9:10">
      <c r="I2489" s="62" t="str">
        <f t="shared" si="77"/>
        <v/>
      </c>
      <c r="J2489" s="63" t="str">
        <f t="shared" si="78"/>
        <v/>
      </c>
    </row>
    <row r="2490" spans="9:10">
      <c r="I2490" s="62" t="str">
        <f t="shared" si="77"/>
        <v/>
      </c>
      <c r="J2490" s="63" t="str">
        <f t="shared" si="78"/>
        <v/>
      </c>
    </row>
    <row r="2491" spans="9:10">
      <c r="I2491" s="62" t="str">
        <f t="shared" si="77"/>
        <v/>
      </c>
      <c r="J2491" s="63" t="str">
        <f t="shared" si="78"/>
        <v/>
      </c>
    </row>
    <row r="2492" spans="9:10">
      <c r="I2492" s="62" t="str">
        <f t="shared" si="77"/>
        <v/>
      </c>
      <c r="J2492" s="63" t="str">
        <f t="shared" si="78"/>
        <v/>
      </c>
    </row>
    <row r="2493" spans="9:10">
      <c r="I2493" s="62" t="str">
        <f t="shared" si="77"/>
        <v/>
      </c>
      <c r="J2493" s="63" t="str">
        <f t="shared" si="78"/>
        <v/>
      </c>
    </row>
    <row r="2494" spans="9:10">
      <c r="I2494" s="62" t="str">
        <f t="shared" si="77"/>
        <v/>
      </c>
      <c r="J2494" s="63" t="str">
        <f t="shared" si="78"/>
        <v/>
      </c>
    </row>
    <row r="2495" spans="9:10">
      <c r="I2495" s="62" t="str">
        <f t="shared" si="77"/>
        <v/>
      </c>
      <c r="J2495" s="63" t="str">
        <f t="shared" si="78"/>
        <v/>
      </c>
    </row>
    <row r="2496" spans="9:10">
      <c r="I2496" s="62" t="str">
        <f t="shared" si="77"/>
        <v/>
      </c>
      <c r="J2496" s="63" t="str">
        <f t="shared" si="78"/>
        <v/>
      </c>
    </row>
    <row r="2497" spans="9:10">
      <c r="I2497" s="62" t="str">
        <f t="shared" si="77"/>
        <v/>
      </c>
      <c r="J2497" s="63" t="str">
        <f t="shared" si="78"/>
        <v/>
      </c>
    </row>
    <row r="2498" spans="9:10">
      <c r="I2498" s="62" t="str">
        <f t="shared" si="77"/>
        <v/>
      </c>
      <c r="J2498" s="63" t="str">
        <f t="shared" si="78"/>
        <v/>
      </c>
    </row>
    <row r="2499" spans="9:10">
      <c r="I2499" s="62" t="str">
        <f t="shared" si="77"/>
        <v/>
      </c>
      <c r="J2499" s="63" t="str">
        <f t="shared" si="78"/>
        <v/>
      </c>
    </row>
    <row r="2500" spans="9:10">
      <c r="I2500" s="62" t="str">
        <f t="shared" si="77"/>
        <v/>
      </c>
      <c r="J2500" s="63" t="str">
        <f t="shared" si="78"/>
        <v/>
      </c>
    </row>
    <row r="2501" spans="9:10">
      <c r="I2501" s="62" t="str">
        <f t="shared" si="77"/>
        <v/>
      </c>
      <c r="J2501" s="63" t="str">
        <f t="shared" si="78"/>
        <v/>
      </c>
    </row>
    <row r="2502" spans="9:10">
      <c r="I2502" s="62" t="str">
        <f t="shared" si="77"/>
        <v/>
      </c>
      <c r="J2502" s="63" t="str">
        <f t="shared" si="78"/>
        <v/>
      </c>
    </row>
    <row r="2503" spans="9:10">
      <c r="I2503" s="62" t="str">
        <f t="shared" si="77"/>
        <v/>
      </c>
      <c r="J2503" s="63" t="str">
        <f t="shared" si="78"/>
        <v/>
      </c>
    </row>
    <row r="2504" spans="9:10">
      <c r="I2504" s="62" t="str">
        <f t="shared" si="77"/>
        <v/>
      </c>
      <c r="J2504" s="63" t="str">
        <f t="shared" si="78"/>
        <v/>
      </c>
    </row>
    <row r="2505" spans="9:10">
      <c r="I2505" s="62" t="str">
        <f t="shared" si="77"/>
        <v/>
      </c>
      <c r="J2505" s="63" t="str">
        <f t="shared" si="78"/>
        <v/>
      </c>
    </row>
    <row r="2506" spans="9:10">
      <c r="I2506" s="62" t="str">
        <f t="shared" si="77"/>
        <v/>
      </c>
      <c r="J2506" s="63" t="str">
        <f t="shared" si="78"/>
        <v/>
      </c>
    </row>
    <row r="2507" spans="9:10">
      <c r="I2507" s="62" t="str">
        <f t="shared" si="77"/>
        <v/>
      </c>
      <c r="J2507" s="63" t="str">
        <f t="shared" si="78"/>
        <v/>
      </c>
    </row>
    <row r="2508" spans="9:10">
      <c r="I2508" s="62" t="str">
        <f t="shared" ref="I2508:I2571" si="79">IF(B2508="","",IF(B2508="Total",I2506,IF(B2506="Total",I2506, IF(ISNUMBER(A2508),A2508,I2507))))</f>
        <v/>
      </c>
      <c r="J2508" s="63" t="str">
        <f t="shared" si="78"/>
        <v/>
      </c>
    </row>
    <row r="2509" spans="9:10">
      <c r="I2509" s="62" t="str">
        <f t="shared" si="79"/>
        <v/>
      </c>
      <c r="J2509" s="63" t="str">
        <f t="shared" si="78"/>
        <v/>
      </c>
    </row>
    <row r="2510" spans="9:10">
      <c r="I2510" s="62" t="str">
        <f t="shared" si="79"/>
        <v/>
      </c>
      <c r="J2510" s="63" t="str">
        <f t="shared" si="78"/>
        <v/>
      </c>
    </row>
    <row r="2511" spans="9:10">
      <c r="I2511" s="62" t="str">
        <f t="shared" si="79"/>
        <v/>
      </c>
      <c r="J2511" s="63" t="str">
        <f t="shared" ref="J2511:J2574" si="80">IF(B2511="","",IF(B2511="Total",J2509,IF(B2509="Total",J2509,IF(A2511="",J2510,IF(ISNUMBER(A2510),B2510,IF(ISNUMBER(A2511),B2511,J2510))))))</f>
        <v/>
      </c>
    </row>
    <row r="2512" spans="9:10">
      <c r="I2512" s="62" t="str">
        <f t="shared" si="79"/>
        <v/>
      </c>
      <c r="J2512" s="63" t="str">
        <f t="shared" si="80"/>
        <v/>
      </c>
    </row>
    <row r="2513" spans="9:10">
      <c r="I2513" s="62" t="str">
        <f t="shared" si="79"/>
        <v/>
      </c>
      <c r="J2513" s="63" t="str">
        <f t="shared" si="80"/>
        <v/>
      </c>
    </row>
    <row r="2514" spans="9:10">
      <c r="I2514" s="62" t="str">
        <f t="shared" si="79"/>
        <v/>
      </c>
      <c r="J2514" s="63" t="str">
        <f t="shared" si="80"/>
        <v/>
      </c>
    </row>
    <row r="2515" spans="9:10">
      <c r="I2515" s="62" t="str">
        <f t="shared" si="79"/>
        <v/>
      </c>
      <c r="J2515" s="63" t="str">
        <f t="shared" si="80"/>
        <v/>
      </c>
    </row>
    <row r="2516" spans="9:10">
      <c r="I2516" s="62" t="str">
        <f t="shared" si="79"/>
        <v/>
      </c>
      <c r="J2516" s="63" t="str">
        <f t="shared" si="80"/>
        <v/>
      </c>
    </row>
    <row r="2517" spans="9:10">
      <c r="I2517" s="62" t="str">
        <f t="shared" si="79"/>
        <v/>
      </c>
      <c r="J2517" s="63" t="str">
        <f t="shared" si="80"/>
        <v/>
      </c>
    </row>
    <row r="2518" spans="9:10">
      <c r="I2518" s="62" t="str">
        <f t="shared" si="79"/>
        <v/>
      </c>
      <c r="J2518" s="63" t="str">
        <f t="shared" si="80"/>
        <v/>
      </c>
    </row>
    <row r="2519" spans="9:10">
      <c r="I2519" s="62" t="str">
        <f t="shared" si="79"/>
        <v/>
      </c>
      <c r="J2519" s="63" t="str">
        <f t="shared" si="80"/>
        <v/>
      </c>
    </row>
    <row r="2520" spans="9:10">
      <c r="I2520" s="62" t="str">
        <f t="shared" si="79"/>
        <v/>
      </c>
      <c r="J2520" s="63" t="str">
        <f t="shared" si="80"/>
        <v/>
      </c>
    </row>
    <row r="2521" spans="9:10">
      <c r="I2521" s="62" t="str">
        <f t="shared" si="79"/>
        <v/>
      </c>
      <c r="J2521" s="63" t="str">
        <f t="shared" si="80"/>
        <v/>
      </c>
    </row>
    <row r="2522" spans="9:10">
      <c r="I2522" s="62" t="str">
        <f t="shared" si="79"/>
        <v/>
      </c>
      <c r="J2522" s="63" t="str">
        <f t="shared" si="80"/>
        <v/>
      </c>
    </row>
    <row r="2523" spans="9:10">
      <c r="I2523" s="62" t="str">
        <f t="shared" si="79"/>
        <v/>
      </c>
      <c r="J2523" s="63" t="str">
        <f t="shared" si="80"/>
        <v/>
      </c>
    </row>
    <row r="2524" spans="9:10">
      <c r="I2524" s="62" t="str">
        <f t="shared" si="79"/>
        <v/>
      </c>
      <c r="J2524" s="63" t="str">
        <f t="shared" si="80"/>
        <v/>
      </c>
    </row>
    <row r="2525" spans="9:10">
      <c r="I2525" s="62" t="str">
        <f t="shared" si="79"/>
        <v/>
      </c>
      <c r="J2525" s="63" t="str">
        <f t="shared" si="80"/>
        <v/>
      </c>
    </row>
    <row r="2526" spans="9:10">
      <c r="I2526" s="62" t="str">
        <f t="shared" si="79"/>
        <v/>
      </c>
      <c r="J2526" s="63" t="str">
        <f t="shared" si="80"/>
        <v/>
      </c>
    </row>
    <row r="2527" spans="9:10">
      <c r="I2527" s="62" t="str">
        <f t="shared" si="79"/>
        <v/>
      </c>
      <c r="J2527" s="63" t="str">
        <f t="shared" si="80"/>
        <v/>
      </c>
    </row>
    <row r="2528" spans="9:10">
      <c r="I2528" s="62" t="str">
        <f t="shared" si="79"/>
        <v/>
      </c>
      <c r="J2528" s="63" t="str">
        <f t="shared" si="80"/>
        <v/>
      </c>
    </row>
    <row r="2529" spans="9:10">
      <c r="I2529" s="62" t="str">
        <f t="shared" si="79"/>
        <v/>
      </c>
      <c r="J2529" s="63" t="str">
        <f t="shared" si="80"/>
        <v/>
      </c>
    </row>
    <row r="2530" spans="9:10">
      <c r="I2530" s="62" t="str">
        <f t="shared" si="79"/>
        <v/>
      </c>
      <c r="J2530" s="63" t="str">
        <f t="shared" si="80"/>
        <v/>
      </c>
    </row>
    <row r="2531" spans="9:10">
      <c r="I2531" s="62" t="str">
        <f t="shared" si="79"/>
        <v/>
      </c>
      <c r="J2531" s="63" t="str">
        <f t="shared" si="80"/>
        <v/>
      </c>
    </row>
    <row r="2532" spans="9:10">
      <c r="I2532" s="62" t="str">
        <f t="shared" si="79"/>
        <v/>
      </c>
      <c r="J2532" s="63" t="str">
        <f t="shared" si="80"/>
        <v/>
      </c>
    </row>
    <row r="2533" spans="9:10">
      <c r="I2533" s="62" t="str">
        <f t="shared" si="79"/>
        <v/>
      </c>
      <c r="J2533" s="63" t="str">
        <f t="shared" si="80"/>
        <v/>
      </c>
    </row>
    <row r="2534" spans="9:10">
      <c r="I2534" s="62" t="str">
        <f t="shared" si="79"/>
        <v/>
      </c>
      <c r="J2534" s="63" t="str">
        <f t="shared" si="80"/>
        <v/>
      </c>
    </row>
    <row r="2535" spans="9:10">
      <c r="I2535" s="62" t="str">
        <f t="shared" si="79"/>
        <v/>
      </c>
      <c r="J2535" s="63" t="str">
        <f t="shared" si="80"/>
        <v/>
      </c>
    </row>
    <row r="2536" spans="9:10">
      <c r="I2536" s="62" t="str">
        <f t="shared" si="79"/>
        <v/>
      </c>
      <c r="J2536" s="63" t="str">
        <f t="shared" si="80"/>
        <v/>
      </c>
    </row>
    <row r="2537" spans="9:10">
      <c r="I2537" s="62" t="str">
        <f t="shared" si="79"/>
        <v/>
      </c>
      <c r="J2537" s="63" t="str">
        <f t="shared" si="80"/>
        <v/>
      </c>
    </row>
    <row r="2538" spans="9:10">
      <c r="I2538" s="62" t="str">
        <f t="shared" si="79"/>
        <v/>
      </c>
      <c r="J2538" s="63" t="str">
        <f t="shared" si="80"/>
        <v/>
      </c>
    </row>
    <row r="2539" spans="9:10">
      <c r="I2539" s="62" t="str">
        <f t="shared" si="79"/>
        <v/>
      </c>
      <c r="J2539" s="63" t="str">
        <f t="shared" si="80"/>
        <v/>
      </c>
    </row>
    <row r="2540" spans="9:10">
      <c r="I2540" s="62" t="str">
        <f t="shared" si="79"/>
        <v/>
      </c>
      <c r="J2540" s="63" t="str">
        <f t="shared" si="80"/>
        <v/>
      </c>
    </row>
    <row r="2541" spans="9:10">
      <c r="I2541" s="62" t="str">
        <f t="shared" si="79"/>
        <v/>
      </c>
      <c r="J2541" s="63" t="str">
        <f t="shared" si="80"/>
        <v/>
      </c>
    </row>
    <row r="2542" spans="9:10">
      <c r="I2542" s="62" t="str">
        <f t="shared" si="79"/>
        <v/>
      </c>
      <c r="J2542" s="63" t="str">
        <f t="shared" si="80"/>
        <v/>
      </c>
    </row>
    <row r="2543" spans="9:10">
      <c r="I2543" s="62" t="str">
        <f t="shared" si="79"/>
        <v/>
      </c>
      <c r="J2543" s="63" t="str">
        <f t="shared" si="80"/>
        <v/>
      </c>
    </row>
    <row r="2544" spans="9:10">
      <c r="I2544" s="62" t="str">
        <f t="shared" si="79"/>
        <v/>
      </c>
      <c r="J2544" s="63" t="str">
        <f t="shared" si="80"/>
        <v/>
      </c>
    </row>
    <row r="2545" spans="9:10">
      <c r="I2545" s="62" t="str">
        <f t="shared" si="79"/>
        <v/>
      </c>
      <c r="J2545" s="63" t="str">
        <f t="shared" si="80"/>
        <v/>
      </c>
    </row>
    <row r="2546" spans="9:10">
      <c r="I2546" s="62" t="str">
        <f t="shared" si="79"/>
        <v/>
      </c>
      <c r="J2546" s="63" t="str">
        <f t="shared" si="80"/>
        <v/>
      </c>
    </row>
    <row r="2547" spans="9:10">
      <c r="I2547" s="62" t="str">
        <f t="shared" si="79"/>
        <v/>
      </c>
      <c r="J2547" s="63" t="str">
        <f t="shared" si="80"/>
        <v/>
      </c>
    </row>
    <row r="2548" spans="9:10">
      <c r="I2548" s="62" t="str">
        <f t="shared" si="79"/>
        <v/>
      </c>
      <c r="J2548" s="63" t="str">
        <f t="shared" si="80"/>
        <v/>
      </c>
    </row>
    <row r="2549" spans="9:10">
      <c r="I2549" s="62" t="str">
        <f t="shared" si="79"/>
        <v/>
      </c>
      <c r="J2549" s="63" t="str">
        <f t="shared" si="80"/>
        <v/>
      </c>
    </row>
    <row r="2550" spans="9:10">
      <c r="I2550" s="62" t="str">
        <f t="shared" si="79"/>
        <v/>
      </c>
      <c r="J2550" s="63" t="str">
        <f t="shared" si="80"/>
        <v/>
      </c>
    </row>
    <row r="2551" spans="9:10">
      <c r="I2551" s="62" t="str">
        <f t="shared" si="79"/>
        <v/>
      </c>
      <c r="J2551" s="63" t="str">
        <f t="shared" si="80"/>
        <v/>
      </c>
    </row>
    <row r="2552" spans="9:10">
      <c r="I2552" s="62" t="str">
        <f t="shared" si="79"/>
        <v/>
      </c>
      <c r="J2552" s="63" t="str">
        <f t="shared" si="80"/>
        <v/>
      </c>
    </row>
    <row r="2553" spans="9:10">
      <c r="I2553" s="62" t="str">
        <f t="shared" si="79"/>
        <v/>
      </c>
      <c r="J2553" s="63" t="str">
        <f t="shared" si="80"/>
        <v/>
      </c>
    </row>
    <row r="2554" spans="9:10">
      <c r="I2554" s="62" t="str">
        <f t="shared" si="79"/>
        <v/>
      </c>
      <c r="J2554" s="63" t="str">
        <f t="shared" si="80"/>
        <v/>
      </c>
    </row>
    <row r="2555" spans="9:10">
      <c r="I2555" s="62" t="str">
        <f t="shared" si="79"/>
        <v/>
      </c>
      <c r="J2555" s="63" t="str">
        <f t="shared" si="80"/>
        <v/>
      </c>
    </row>
    <row r="2556" spans="9:10">
      <c r="I2556" s="62" t="str">
        <f t="shared" si="79"/>
        <v/>
      </c>
      <c r="J2556" s="63" t="str">
        <f t="shared" si="80"/>
        <v/>
      </c>
    </row>
    <row r="2557" spans="9:10">
      <c r="I2557" s="62" t="str">
        <f t="shared" si="79"/>
        <v/>
      </c>
      <c r="J2557" s="63" t="str">
        <f t="shared" si="80"/>
        <v/>
      </c>
    </row>
    <row r="2558" spans="9:10">
      <c r="I2558" s="62" t="str">
        <f t="shared" si="79"/>
        <v/>
      </c>
      <c r="J2558" s="63" t="str">
        <f t="shared" si="80"/>
        <v/>
      </c>
    </row>
    <row r="2559" spans="9:10">
      <c r="I2559" s="62" t="str">
        <f t="shared" si="79"/>
        <v/>
      </c>
      <c r="J2559" s="63" t="str">
        <f t="shared" si="80"/>
        <v/>
      </c>
    </row>
    <row r="2560" spans="9:10">
      <c r="I2560" s="62" t="str">
        <f t="shared" si="79"/>
        <v/>
      </c>
      <c r="J2560" s="63" t="str">
        <f t="shared" si="80"/>
        <v/>
      </c>
    </row>
    <row r="2561" spans="9:10">
      <c r="I2561" s="62" t="str">
        <f t="shared" si="79"/>
        <v/>
      </c>
      <c r="J2561" s="63" t="str">
        <f t="shared" si="80"/>
        <v/>
      </c>
    </row>
    <row r="2562" spans="9:10">
      <c r="I2562" s="62" t="str">
        <f t="shared" si="79"/>
        <v/>
      </c>
      <c r="J2562" s="63" t="str">
        <f t="shared" si="80"/>
        <v/>
      </c>
    </row>
    <row r="2563" spans="9:10">
      <c r="I2563" s="62" t="str">
        <f t="shared" si="79"/>
        <v/>
      </c>
      <c r="J2563" s="63" t="str">
        <f t="shared" si="80"/>
        <v/>
      </c>
    </row>
    <row r="2564" spans="9:10">
      <c r="I2564" s="62" t="str">
        <f t="shared" si="79"/>
        <v/>
      </c>
      <c r="J2564" s="63" t="str">
        <f t="shared" si="80"/>
        <v/>
      </c>
    </row>
    <row r="2565" spans="9:10">
      <c r="I2565" s="62" t="str">
        <f t="shared" si="79"/>
        <v/>
      </c>
      <c r="J2565" s="63" t="str">
        <f t="shared" si="80"/>
        <v/>
      </c>
    </row>
    <row r="2566" spans="9:10">
      <c r="I2566" s="62" t="str">
        <f t="shared" si="79"/>
        <v/>
      </c>
      <c r="J2566" s="63" t="str">
        <f t="shared" si="80"/>
        <v/>
      </c>
    </row>
    <row r="2567" spans="9:10">
      <c r="I2567" s="62" t="str">
        <f t="shared" si="79"/>
        <v/>
      </c>
      <c r="J2567" s="63" t="str">
        <f t="shared" si="80"/>
        <v/>
      </c>
    </row>
    <row r="2568" spans="9:10">
      <c r="I2568" s="62" t="str">
        <f t="shared" si="79"/>
        <v/>
      </c>
      <c r="J2568" s="63" t="str">
        <f t="shared" si="80"/>
        <v/>
      </c>
    </row>
    <row r="2569" spans="9:10">
      <c r="I2569" s="62" t="str">
        <f t="shared" si="79"/>
        <v/>
      </c>
      <c r="J2569" s="63" t="str">
        <f t="shared" si="80"/>
        <v/>
      </c>
    </row>
    <row r="2570" spans="9:10">
      <c r="I2570" s="62" t="str">
        <f t="shared" si="79"/>
        <v/>
      </c>
      <c r="J2570" s="63" t="str">
        <f t="shared" si="80"/>
        <v/>
      </c>
    </row>
    <row r="2571" spans="9:10">
      <c r="I2571" s="62" t="str">
        <f t="shared" si="79"/>
        <v/>
      </c>
      <c r="J2571" s="63" t="str">
        <f t="shared" si="80"/>
        <v/>
      </c>
    </row>
    <row r="2572" spans="9:10">
      <c r="I2572" s="62" t="str">
        <f t="shared" ref="I2572:I2635" si="81">IF(B2572="","",IF(B2572="Total",I2570,IF(B2570="Total",I2570, IF(ISNUMBER(A2572),A2572,I2571))))</f>
        <v/>
      </c>
      <c r="J2572" s="63" t="str">
        <f t="shared" si="80"/>
        <v/>
      </c>
    </row>
    <row r="2573" spans="9:10">
      <c r="I2573" s="62" t="str">
        <f t="shared" si="81"/>
        <v/>
      </c>
      <c r="J2573" s="63" t="str">
        <f t="shared" si="80"/>
        <v/>
      </c>
    </row>
    <row r="2574" spans="9:10">
      <c r="I2574" s="62" t="str">
        <f t="shared" si="81"/>
        <v/>
      </c>
      <c r="J2574" s="63" t="str">
        <f t="shared" si="80"/>
        <v/>
      </c>
    </row>
    <row r="2575" spans="9:10">
      <c r="I2575" s="62" t="str">
        <f t="shared" si="81"/>
        <v/>
      </c>
      <c r="J2575" s="63" t="str">
        <f t="shared" ref="J2575:J2638" si="82">IF(B2575="","",IF(B2575="Total",J2573,IF(B2573="Total",J2573,IF(A2575="",J2574,IF(ISNUMBER(A2574),B2574,IF(ISNUMBER(A2575),B2575,J2574))))))</f>
        <v/>
      </c>
    </row>
    <row r="2576" spans="9:10">
      <c r="I2576" s="62" t="str">
        <f t="shared" si="81"/>
        <v/>
      </c>
      <c r="J2576" s="63" t="str">
        <f t="shared" si="82"/>
        <v/>
      </c>
    </row>
    <row r="2577" spans="9:10">
      <c r="I2577" s="62" t="str">
        <f t="shared" si="81"/>
        <v/>
      </c>
      <c r="J2577" s="63" t="str">
        <f t="shared" si="82"/>
        <v/>
      </c>
    </row>
    <row r="2578" spans="9:10">
      <c r="I2578" s="62" t="str">
        <f t="shared" si="81"/>
        <v/>
      </c>
      <c r="J2578" s="63" t="str">
        <f t="shared" si="82"/>
        <v/>
      </c>
    </row>
    <row r="2579" spans="9:10">
      <c r="I2579" s="62" t="str">
        <f t="shared" si="81"/>
        <v/>
      </c>
      <c r="J2579" s="63" t="str">
        <f t="shared" si="82"/>
        <v/>
      </c>
    </row>
    <row r="2580" spans="9:10">
      <c r="I2580" s="62" t="str">
        <f t="shared" si="81"/>
        <v/>
      </c>
      <c r="J2580" s="63" t="str">
        <f t="shared" si="82"/>
        <v/>
      </c>
    </row>
    <row r="2581" spans="9:10">
      <c r="I2581" s="62" t="str">
        <f t="shared" si="81"/>
        <v/>
      </c>
      <c r="J2581" s="63" t="str">
        <f t="shared" si="82"/>
        <v/>
      </c>
    </row>
    <row r="2582" spans="9:10">
      <c r="I2582" s="62" t="str">
        <f t="shared" si="81"/>
        <v/>
      </c>
      <c r="J2582" s="63" t="str">
        <f t="shared" si="82"/>
        <v/>
      </c>
    </row>
    <row r="2583" spans="9:10">
      <c r="I2583" s="62" t="str">
        <f t="shared" si="81"/>
        <v/>
      </c>
      <c r="J2583" s="63" t="str">
        <f t="shared" si="82"/>
        <v/>
      </c>
    </row>
    <row r="2584" spans="9:10">
      <c r="I2584" s="62" t="str">
        <f t="shared" si="81"/>
        <v/>
      </c>
      <c r="J2584" s="63" t="str">
        <f t="shared" si="82"/>
        <v/>
      </c>
    </row>
    <row r="2585" spans="9:10">
      <c r="I2585" s="62" t="str">
        <f t="shared" si="81"/>
        <v/>
      </c>
      <c r="J2585" s="63" t="str">
        <f t="shared" si="82"/>
        <v/>
      </c>
    </row>
    <row r="2586" spans="9:10">
      <c r="I2586" s="62" t="str">
        <f t="shared" si="81"/>
        <v/>
      </c>
      <c r="J2586" s="63" t="str">
        <f t="shared" si="82"/>
        <v/>
      </c>
    </row>
    <row r="2587" spans="9:10">
      <c r="I2587" s="62" t="str">
        <f t="shared" si="81"/>
        <v/>
      </c>
      <c r="J2587" s="63" t="str">
        <f t="shared" si="82"/>
        <v/>
      </c>
    </row>
    <row r="2588" spans="9:10">
      <c r="I2588" s="62" t="str">
        <f t="shared" si="81"/>
        <v/>
      </c>
      <c r="J2588" s="63" t="str">
        <f t="shared" si="82"/>
        <v/>
      </c>
    </row>
    <row r="2589" spans="9:10">
      <c r="I2589" s="62" t="str">
        <f t="shared" si="81"/>
        <v/>
      </c>
      <c r="J2589" s="63" t="str">
        <f t="shared" si="82"/>
        <v/>
      </c>
    </row>
    <row r="2590" spans="9:10">
      <c r="I2590" s="62" t="str">
        <f t="shared" si="81"/>
        <v/>
      </c>
      <c r="J2590" s="63" t="str">
        <f t="shared" si="82"/>
        <v/>
      </c>
    </row>
    <row r="2591" spans="9:10">
      <c r="I2591" s="62" t="str">
        <f t="shared" si="81"/>
        <v/>
      </c>
      <c r="J2591" s="63" t="str">
        <f t="shared" si="82"/>
        <v/>
      </c>
    </row>
    <row r="2592" spans="9:10">
      <c r="I2592" s="62" t="str">
        <f t="shared" si="81"/>
        <v/>
      </c>
      <c r="J2592" s="63" t="str">
        <f t="shared" si="82"/>
        <v/>
      </c>
    </row>
    <row r="2593" spans="9:10">
      <c r="I2593" s="62" t="str">
        <f t="shared" si="81"/>
        <v/>
      </c>
      <c r="J2593" s="63" t="str">
        <f t="shared" si="82"/>
        <v/>
      </c>
    </row>
    <row r="2594" spans="9:10">
      <c r="I2594" s="62" t="str">
        <f t="shared" si="81"/>
        <v/>
      </c>
      <c r="J2594" s="63" t="str">
        <f t="shared" si="82"/>
        <v/>
      </c>
    </row>
    <row r="2595" spans="9:10">
      <c r="I2595" s="62" t="str">
        <f t="shared" si="81"/>
        <v/>
      </c>
      <c r="J2595" s="63" t="str">
        <f t="shared" si="82"/>
        <v/>
      </c>
    </row>
    <row r="2596" spans="9:10">
      <c r="I2596" s="62" t="str">
        <f t="shared" si="81"/>
        <v/>
      </c>
      <c r="J2596" s="63" t="str">
        <f t="shared" si="82"/>
        <v/>
      </c>
    </row>
    <row r="2597" spans="9:10">
      <c r="I2597" s="62" t="str">
        <f t="shared" si="81"/>
        <v/>
      </c>
      <c r="J2597" s="63" t="str">
        <f t="shared" si="82"/>
        <v/>
      </c>
    </row>
    <row r="2598" spans="9:10">
      <c r="I2598" s="62" t="str">
        <f t="shared" si="81"/>
        <v/>
      </c>
      <c r="J2598" s="63" t="str">
        <f t="shared" si="82"/>
        <v/>
      </c>
    </row>
    <row r="2599" spans="9:10">
      <c r="I2599" s="62" t="str">
        <f t="shared" si="81"/>
        <v/>
      </c>
      <c r="J2599" s="63" t="str">
        <f t="shared" si="82"/>
        <v/>
      </c>
    </row>
    <row r="2600" spans="9:10">
      <c r="I2600" s="62" t="str">
        <f t="shared" si="81"/>
        <v/>
      </c>
      <c r="J2600" s="63" t="str">
        <f t="shared" si="82"/>
        <v/>
      </c>
    </row>
    <row r="2601" spans="9:10">
      <c r="I2601" s="62" t="str">
        <f t="shared" si="81"/>
        <v/>
      </c>
      <c r="J2601" s="63" t="str">
        <f t="shared" si="82"/>
        <v/>
      </c>
    </row>
    <row r="2602" spans="9:10">
      <c r="I2602" s="62" t="str">
        <f t="shared" si="81"/>
        <v/>
      </c>
      <c r="J2602" s="63" t="str">
        <f t="shared" si="82"/>
        <v/>
      </c>
    </row>
    <row r="2603" spans="9:10">
      <c r="I2603" s="62" t="str">
        <f t="shared" si="81"/>
        <v/>
      </c>
      <c r="J2603" s="63" t="str">
        <f t="shared" si="82"/>
        <v/>
      </c>
    </row>
    <row r="2604" spans="9:10">
      <c r="I2604" s="62" t="str">
        <f t="shared" si="81"/>
        <v/>
      </c>
      <c r="J2604" s="63" t="str">
        <f t="shared" si="82"/>
        <v/>
      </c>
    </row>
    <row r="2605" spans="9:10">
      <c r="I2605" s="62" t="str">
        <f t="shared" si="81"/>
        <v/>
      </c>
      <c r="J2605" s="63" t="str">
        <f t="shared" si="82"/>
        <v/>
      </c>
    </row>
    <row r="2606" spans="9:10">
      <c r="I2606" s="62" t="str">
        <f t="shared" si="81"/>
        <v/>
      </c>
      <c r="J2606" s="63" t="str">
        <f t="shared" si="82"/>
        <v/>
      </c>
    </row>
    <row r="2607" spans="9:10">
      <c r="I2607" s="62" t="str">
        <f t="shared" si="81"/>
        <v/>
      </c>
      <c r="J2607" s="63" t="str">
        <f t="shared" si="82"/>
        <v/>
      </c>
    </row>
    <row r="2608" spans="9:10">
      <c r="I2608" s="62" t="str">
        <f t="shared" si="81"/>
        <v/>
      </c>
      <c r="J2608" s="63" t="str">
        <f t="shared" si="82"/>
        <v/>
      </c>
    </row>
    <row r="2609" spans="9:10">
      <c r="I2609" s="62" t="str">
        <f t="shared" si="81"/>
        <v/>
      </c>
      <c r="J2609" s="63" t="str">
        <f t="shared" si="82"/>
        <v/>
      </c>
    </row>
    <row r="2610" spans="9:10">
      <c r="I2610" s="62" t="str">
        <f t="shared" si="81"/>
        <v/>
      </c>
      <c r="J2610" s="63" t="str">
        <f t="shared" si="82"/>
        <v/>
      </c>
    </row>
    <row r="2611" spans="9:10">
      <c r="I2611" s="62" t="str">
        <f t="shared" si="81"/>
        <v/>
      </c>
      <c r="J2611" s="63" t="str">
        <f t="shared" si="82"/>
        <v/>
      </c>
    </row>
    <row r="2612" spans="9:10">
      <c r="I2612" s="62" t="str">
        <f t="shared" si="81"/>
        <v/>
      </c>
      <c r="J2612" s="63" t="str">
        <f t="shared" si="82"/>
        <v/>
      </c>
    </row>
    <row r="2613" spans="9:10">
      <c r="I2613" s="62" t="str">
        <f t="shared" si="81"/>
        <v/>
      </c>
      <c r="J2613" s="63" t="str">
        <f t="shared" si="82"/>
        <v/>
      </c>
    </row>
    <row r="2614" spans="9:10">
      <c r="I2614" s="62" t="str">
        <f t="shared" si="81"/>
        <v/>
      </c>
      <c r="J2614" s="63" t="str">
        <f t="shared" si="82"/>
        <v/>
      </c>
    </row>
    <row r="2615" spans="9:10">
      <c r="I2615" s="62" t="str">
        <f t="shared" si="81"/>
        <v/>
      </c>
      <c r="J2615" s="63" t="str">
        <f t="shared" si="82"/>
        <v/>
      </c>
    </row>
    <row r="2616" spans="9:10">
      <c r="I2616" s="62" t="str">
        <f t="shared" si="81"/>
        <v/>
      </c>
      <c r="J2616" s="63" t="str">
        <f t="shared" si="82"/>
        <v/>
      </c>
    </row>
    <row r="2617" spans="9:10">
      <c r="I2617" s="62" t="str">
        <f t="shared" si="81"/>
        <v/>
      </c>
      <c r="J2617" s="63" t="str">
        <f t="shared" si="82"/>
        <v/>
      </c>
    </row>
    <row r="2618" spans="9:10">
      <c r="I2618" s="62" t="str">
        <f t="shared" si="81"/>
        <v/>
      </c>
      <c r="J2618" s="63" t="str">
        <f t="shared" si="82"/>
        <v/>
      </c>
    </row>
    <row r="2619" spans="9:10">
      <c r="I2619" s="62" t="str">
        <f t="shared" si="81"/>
        <v/>
      </c>
      <c r="J2619" s="63" t="str">
        <f t="shared" si="82"/>
        <v/>
      </c>
    </row>
    <row r="2620" spans="9:10">
      <c r="I2620" s="62" t="str">
        <f t="shared" si="81"/>
        <v/>
      </c>
      <c r="J2620" s="63" t="str">
        <f t="shared" si="82"/>
        <v/>
      </c>
    </row>
    <row r="2621" spans="9:10">
      <c r="I2621" s="62" t="str">
        <f t="shared" si="81"/>
        <v/>
      </c>
      <c r="J2621" s="63" t="str">
        <f t="shared" si="82"/>
        <v/>
      </c>
    </row>
    <row r="2622" spans="9:10">
      <c r="I2622" s="62" t="str">
        <f t="shared" si="81"/>
        <v/>
      </c>
      <c r="J2622" s="63" t="str">
        <f t="shared" si="82"/>
        <v/>
      </c>
    </row>
    <row r="2623" spans="9:10">
      <c r="I2623" s="62" t="str">
        <f t="shared" si="81"/>
        <v/>
      </c>
      <c r="J2623" s="63" t="str">
        <f t="shared" si="82"/>
        <v/>
      </c>
    </row>
    <row r="2624" spans="9:10">
      <c r="I2624" s="62" t="str">
        <f t="shared" si="81"/>
        <v/>
      </c>
      <c r="J2624" s="63" t="str">
        <f t="shared" si="82"/>
        <v/>
      </c>
    </row>
    <row r="2625" spans="9:10">
      <c r="I2625" s="62" t="str">
        <f t="shared" si="81"/>
        <v/>
      </c>
      <c r="J2625" s="63" t="str">
        <f t="shared" si="82"/>
        <v/>
      </c>
    </row>
    <row r="2626" spans="9:10">
      <c r="I2626" s="62" t="str">
        <f t="shared" si="81"/>
        <v/>
      </c>
      <c r="J2626" s="63" t="str">
        <f t="shared" si="82"/>
        <v/>
      </c>
    </row>
    <row r="2627" spans="9:10">
      <c r="I2627" s="62" t="str">
        <f t="shared" si="81"/>
        <v/>
      </c>
      <c r="J2627" s="63" t="str">
        <f t="shared" si="82"/>
        <v/>
      </c>
    </row>
    <row r="2628" spans="9:10">
      <c r="I2628" s="62" t="str">
        <f t="shared" si="81"/>
        <v/>
      </c>
      <c r="J2628" s="63" t="str">
        <f t="shared" si="82"/>
        <v/>
      </c>
    </row>
    <row r="2629" spans="9:10">
      <c r="I2629" s="62" t="str">
        <f t="shared" si="81"/>
        <v/>
      </c>
      <c r="J2629" s="63" t="str">
        <f t="shared" si="82"/>
        <v/>
      </c>
    </row>
    <row r="2630" spans="9:10">
      <c r="I2630" s="62" t="str">
        <f t="shared" si="81"/>
        <v/>
      </c>
      <c r="J2630" s="63" t="str">
        <f t="shared" si="82"/>
        <v/>
      </c>
    </row>
    <row r="2631" spans="9:10">
      <c r="I2631" s="62" t="str">
        <f t="shared" si="81"/>
        <v/>
      </c>
      <c r="J2631" s="63" t="str">
        <f t="shared" si="82"/>
        <v/>
      </c>
    </row>
    <row r="2632" spans="9:10">
      <c r="I2632" s="62" t="str">
        <f t="shared" si="81"/>
        <v/>
      </c>
      <c r="J2632" s="63" t="str">
        <f t="shared" si="82"/>
        <v/>
      </c>
    </row>
    <row r="2633" spans="9:10">
      <c r="I2633" s="62" t="str">
        <f t="shared" si="81"/>
        <v/>
      </c>
      <c r="J2633" s="63" t="str">
        <f t="shared" si="82"/>
        <v/>
      </c>
    </row>
    <row r="2634" spans="9:10">
      <c r="I2634" s="62" t="str">
        <f t="shared" si="81"/>
        <v/>
      </c>
      <c r="J2634" s="63" t="str">
        <f t="shared" si="82"/>
        <v/>
      </c>
    </row>
    <row r="2635" spans="9:10">
      <c r="I2635" s="62" t="str">
        <f t="shared" si="81"/>
        <v/>
      </c>
      <c r="J2635" s="63" t="str">
        <f t="shared" si="82"/>
        <v/>
      </c>
    </row>
    <row r="2636" spans="9:10">
      <c r="I2636" s="62" t="str">
        <f t="shared" ref="I2636:I2699" si="83">IF(B2636="","",IF(B2636="Total",I2634,IF(B2634="Total",I2634, IF(ISNUMBER(A2636),A2636,I2635))))</f>
        <v/>
      </c>
      <c r="J2636" s="63" t="str">
        <f t="shared" si="82"/>
        <v/>
      </c>
    </row>
    <row r="2637" spans="9:10">
      <c r="I2637" s="62" t="str">
        <f t="shared" si="83"/>
        <v/>
      </c>
      <c r="J2637" s="63" t="str">
        <f t="shared" si="82"/>
        <v/>
      </c>
    </row>
    <row r="2638" spans="9:10">
      <c r="I2638" s="62" t="str">
        <f t="shared" si="83"/>
        <v/>
      </c>
      <c r="J2638" s="63" t="str">
        <f t="shared" si="82"/>
        <v/>
      </c>
    </row>
    <row r="2639" spans="9:10">
      <c r="I2639" s="62" t="str">
        <f t="shared" si="83"/>
        <v/>
      </c>
      <c r="J2639" s="63" t="str">
        <f t="shared" ref="J2639:J2702" si="84">IF(B2639="","",IF(B2639="Total",J2637,IF(B2637="Total",J2637,IF(A2639="",J2638,IF(ISNUMBER(A2638),B2638,IF(ISNUMBER(A2639),B2639,J2638))))))</f>
        <v/>
      </c>
    </row>
    <row r="2640" spans="9:10">
      <c r="I2640" s="62" t="str">
        <f t="shared" si="83"/>
        <v/>
      </c>
      <c r="J2640" s="63" t="str">
        <f t="shared" si="84"/>
        <v/>
      </c>
    </row>
    <row r="2641" spans="9:10">
      <c r="I2641" s="62" t="str">
        <f t="shared" si="83"/>
        <v/>
      </c>
      <c r="J2641" s="63" t="str">
        <f t="shared" si="84"/>
        <v/>
      </c>
    </row>
    <row r="2642" spans="9:10">
      <c r="I2642" s="62" t="str">
        <f t="shared" si="83"/>
        <v/>
      </c>
      <c r="J2642" s="63" t="str">
        <f t="shared" si="84"/>
        <v/>
      </c>
    </row>
    <row r="2643" spans="9:10">
      <c r="I2643" s="62" t="str">
        <f t="shared" si="83"/>
        <v/>
      </c>
      <c r="J2643" s="63" t="str">
        <f t="shared" si="84"/>
        <v/>
      </c>
    </row>
    <row r="2644" spans="9:10">
      <c r="I2644" s="62" t="str">
        <f t="shared" si="83"/>
        <v/>
      </c>
      <c r="J2644" s="63" t="str">
        <f t="shared" si="84"/>
        <v/>
      </c>
    </row>
    <row r="2645" spans="9:10">
      <c r="I2645" s="62" t="str">
        <f t="shared" si="83"/>
        <v/>
      </c>
      <c r="J2645" s="63" t="str">
        <f t="shared" si="84"/>
        <v/>
      </c>
    </row>
    <row r="2646" spans="9:10">
      <c r="I2646" s="62" t="str">
        <f t="shared" si="83"/>
        <v/>
      </c>
      <c r="J2646" s="63" t="str">
        <f t="shared" si="84"/>
        <v/>
      </c>
    </row>
    <row r="2647" spans="9:10">
      <c r="I2647" s="62" t="str">
        <f t="shared" si="83"/>
        <v/>
      </c>
      <c r="J2647" s="63" t="str">
        <f t="shared" si="84"/>
        <v/>
      </c>
    </row>
    <row r="2648" spans="9:10">
      <c r="I2648" s="62" t="str">
        <f t="shared" si="83"/>
        <v/>
      </c>
      <c r="J2648" s="63" t="str">
        <f t="shared" si="84"/>
        <v/>
      </c>
    </row>
    <row r="2649" spans="9:10">
      <c r="I2649" s="62" t="str">
        <f t="shared" si="83"/>
        <v/>
      </c>
      <c r="J2649" s="63" t="str">
        <f t="shared" si="84"/>
        <v/>
      </c>
    </row>
    <row r="2650" spans="9:10">
      <c r="I2650" s="62" t="str">
        <f t="shared" si="83"/>
        <v/>
      </c>
      <c r="J2650" s="63" t="str">
        <f t="shared" si="84"/>
        <v/>
      </c>
    </row>
    <row r="2651" spans="9:10">
      <c r="I2651" s="62" t="str">
        <f t="shared" si="83"/>
        <v/>
      </c>
      <c r="J2651" s="63" t="str">
        <f t="shared" si="84"/>
        <v/>
      </c>
    </row>
    <row r="2652" spans="9:10">
      <c r="I2652" s="62" t="str">
        <f t="shared" si="83"/>
        <v/>
      </c>
      <c r="J2652" s="63" t="str">
        <f t="shared" si="84"/>
        <v/>
      </c>
    </row>
    <row r="2653" spans="9:10">
      <c r="I2653" s="62" t="str">
        <f t="shared" si="83"/>
        <v/>
      </c>
      <c r="J2653" s="63" t="str">
        <f t="shared" si="84"/>
        <v/>
      </c>
    </row>
    <row r="2654" spans="9:10">
      <c r="I2654" s="62" t="str">
        <f t="shared" si="83"/>
        <v/>
      </c>
      <c r="J2654" s="63" t="str">
        <f t="shared" si="84"/>
        <v/>
      </c>
    </row>
    <row r="2655" spans="9:10">
      <c r="I2655" s="62" t="str">
        <f t="shared" si="83"/>
        <v/>
      </c>
      <c r="J2655" s="63" t="str">
        <f t="shared" si="84"/>
        <v/>
      </c>
    </row>
    <row r="2656" spans="9:10">
      <c r="I2656" s="62" t="str">
        <f t="shared" si="83"/>
        <v/>
      </c>
      <c r="J2656" s="63" t="str">
        <f t="shared" si="84"/>
        <v/>
      </c>
    </row>
    <row r="2657" spans="9:10">
      <c r="I2657" s="62" t="str">
        <f t="shared" si="83"/>
        <v/>
      </c>
      <c r="J2657" s="63" t="str">
        <f t="shared" si="84"/>
        <v/>
      </c>
    </row>
    <row r="2658" spans="9:10">
      <c r="I2658" s="62" t="str">
        <f t="shared" si="83"/>
        <v/>
      </c>
      <c r="J2658" s="63" t="str">
        <f t="shared" si="84"/>
        <v/>
      </c>
    </row>
    <row r="2659" spans="9:10">
      <c r="I2659" s="62" t="str">
        <f t="shared" si="83"/>
        <v/>
      </c>
      <c r="J2659" s="63" t="str">
        <f t="shared" si="84"/>
        <v/>
      </c>
    </row>
    <row r="2660" spans="9:10">
      <c r="I2660" s="62" t="str">
        <f t="shared" si="83"/>
        <v/>
      </c>
      <c r="J2660" s="63" t="str">
        <f t="shared" si="84"/>
        <v/>
      </c>
    </row>
    <row r="2661" spans="9:10">
      <c r="I2661" s="62" t="str">
        <f t="shared" si="83"/>
        <v/>
      </c>
      <c r="J2661" s="63" t="str">
        <f t="shared" si="84"/>
        <v/>
      </c>
    </row>
    <row r="2662" spans="9:10">
      <c r="I2662" s="62" t="str">
        <f t="shared" si="83"/>
        <v/>
      </c>
      <c r="J2662" s="63" t="str">
        <f t="shared" si="84"/>
        <v/>
      </c>
    </row>
    <row r="2663" spans="9:10">
      <c r="I2663" s="62" t="str">
        <f t="shared" si="83"/>
        <v/>
      </c>
      <c r="J2663" s="63" t="str">
        <f t="shared" si="84"/>
        <v/>
      </c>
    </row>
    <row r="2664" spans="9:10">
      <c r="I2664" s="62" t="str">
        <f t="shared" si="83"/>
        <v/>
      </c>
      <c r="J2664" s="63" t="str">
        <f t="shared" si="84"/>
        <v/>
      </c>
    </row>
    <row r="2665" spans="9:10">
      <c r="I2665" s="62" t="str">
        <f t="shared" si="83"/>
        <v/>
      </c>
      <c r="J2665" s="63" t="str">
        <f t="shared" si="84"/>
        <v/>
      </c>
    </row>
    <row r="2666" spans="9:10">
      <c r="I2666" s="62" t="str">
        <f t="shared" si="83"/>
        <v/>
      </c>
      <c r="J2666" s="63" t="str">
        <f t="shared" si="84"/>
        <v/>
      </c>
    </row>
    <row r="2667" spans="9:10">
      <c r="I2667" s="62" t="str">
        <f t="shared" si="83"/>
        <v/>
      </c>
      <c r="J2667" s="63" t="str">
        <f t="shared" si="84"/>
        <v/>
      </c>
    </row>
    <row r="2668" spans="9:10">
      <c r="I2668" s="62" t="str">
        <f t="shared" si="83"/>
        <v/>
      </c>
      <c r="J2668" s="63" t="str">
        <f t="shared" si="84"/>
        <v/>
      </c>
    </row>
    <row r="2669" spans="9:10">
      <c r="I2669" s="62" t="str">
        <f t="shared" si="83"/>
        <v/>
      </c>
      <c r="J2669" s="63" t="str">
        <f t="shared" si="84"/>
        <v/>
      </c>
    </row>
    <row r="2670" spans="9:10">
      <c r="I2670" s="62" t="str">
        <f t="shared" si="83"/>
        <v/>
      </c>
      <c r="J2670" s="63" t="str">
        <f t="shared" si="84"/>
        <v/>
      </c>
    </row>
    <row r="2671" spans="9:10">
      <c r="I2671" s="62" t="str">
        <f t="shared" si="83"/>
        <v/>
      </c>
      <c r="J2671" s="63" t="str">
        <f t="shared" si="84"/>
        <v/>
      </c>
    </row>
    <row r="2672" spans="9:10">
      <c r="I2672" s="62" t="str">
        <f t="shared" si="83"/>
        <v/>
      </c>
      <c r="J2672" s="63" t="str">
        <f t="shared" si="84"/>
        <v/>
      </c>
    </row>
    <row r="2673" spans="9:10">
      <c r="I2673" s="62" t="str">
        <f t="shared" si="83"/>
        <v/>
      </c>
      <c r="J2673" s="63" t="str">
        <f t="shared" si="84"/>
        <v/>
      </c>
    </row>
    <row r="2674" spans="9:10">
      <c r="I2674" s="62" t="str">
        <f t="shared" si="83"/>
        <v/>
      </c>
      <c r="J2674" s="63" t="str">
        <f t="shared" si="84"/>
        <v/>
      </c>
    </row>
    <row r="2675" spans="9:10">
      <c r="I2675" s="62" t="str">
        <f t="shared" si="83"/>
        <v/>
      </c>
      <c r="J2675" s="63" t="str">
        <f t="shared" si="84"/>
        <v/>
      </c>
    </row>
    <row r="2676" spans="9:10">
      <c r="I2676" s="62" t="str">
        <f t="shared" si="83"/>
        <v/>
      </c>
      <c r="J2676" s="63" t="str">
        <f t="shared" si="84"/>
        <v/>
      </c>
    </row>
    <row r="2677" spans="9:10">
      <c r="I2677" s="62" t="str">
        <f t="shared" si="83"/>
        <v/>
      </c>
      <c r="J2677" s="63" t="str">
        <f t="shared" si="84"/>
        <v/>
      </c>
    </row>
    <row r="2678" spans="9:10">
      <c r="I2678" s="62" t="str">
        <f t="shared" si="83"/>
        <v/>
      </c>
      <c r="J2678" s="63" t="str">
        <f t="shared" si="84"/>
        <v/>
      </c>
    </row>
    <row r="2679" spans="9:10">
      <c r="I2679" s="62" t="str">
        <f t="shared" si="83"/>
        <v/>
      </c>
      <c r="J2679" s="63" t="str">
        <f t="shared" si="84"/>
        <v/>
      </c>
    </row>
    <row r="2680" spans="9:10">
      <c r="I2680" s="62" t="str">
        <f t="shared" si="83"/>
        <v/>
      </c>
      <c r="J2680" s="63" t="str">
        <f t="shared" si="84"/>
        <v/>
      </c>
    </row>
    <row r="2681" spans="9:10">
      <c r="I2681" s="62" t="str">
        <f t="shared" si="83"/>
        <v/>
      </c>
      <c r="J2681" s="63" t="str">
        <f t="shared" si="84"/>
        <v/>
      </c>
    </row>
    <row r="2682" spans="9:10">
      <c r="I2682" s="62" t="str">
        <f t="shared" si="83"/>
        <v/>
      </c>
      <c r="J2682" s="63" t="str">
        <f t="shared" si="84"/>
        <v/>
      </c>
    </row>
    <row r="2683" spans="9:10">
      <c r="I2683" s="62" t="str">
        <f t="shared" si="83"/>
        <v/>
      </c>
      <c r="J2683" s="63" t="str">
        <f t="shared" si="84"/>
        <v/>
      </c>
    </row>
    <row r="2684" spans="9:10">
      <c r="I2684" s="62" t="str">
        <f t="shared" si="83"/>
        <v/>
      </c>
      <c r="J2684" s="63" t="str">
        <f t="shared" si="84"/>
        <v/>
      </c>
    </row>
    <row r="2685" spans="9:10">
      <c r="I2685" s="62" t="str">
        <f t="shared" si="83"/>
        <v/>
      </c>
      <c r="J2685" s="63" t="str">
        <f t="shared" si="84"/>
        <v/>
      </c>
    </row>
    <row r="2686" spans="9:10">
      <c r="I2686" s="62" t="str">
        <f t="shared" si="83"/>
        <v/>
      </c>
      <c r="J2686" s="63" t="str">
        <f t="shared" si="84"/>
        <v/>
      </c>
    </row>
    <row r="2687" spans="9:10">
      <c r="I2687" s="62" t="str">
        <f t="shared" si="83"/>
        <v/>
      </c>
      <c r="J2687" s="63" t="str">
        <f t="shared" si="84"/>
        <v/>
      </c>
    </row>
    <row r="2688" spans="9:10">
      <c r="I2688" s="62" t="str">
        <f t="shared" si="83"/>
        <v/>
      </c>
      <c r="J2688" s="63" t="str">
        <f t="shared" si="84"/>
        <v/>
      </c>
    </row>
    <row r="2689" spans="9:10">
      <c r="I2689" s="62" t="str">
        <f t="shared" si="83"/>
        <v/>
      </c>
      <c r="J2689" s="63" t="str">
        <f t="shared" si="84"/>
        <v/>
      </c>
    </row>
    <row r="2690" spans="9:10">
      <c r="I2690" s="62" t="str">
        <f t="shared" si="83"/>
        <v/>
      </c>
      <c r="J2690" s="63" t="str">
        <f t="shared" si="84"/>
        <v/>
      </c>
    </row>
    <row r="2691" spans="9:10">
      <c r="I2691" s="62" t="str">
        <f t="shared" si="83"/>
        <v/>
      </c>
      <c r="J2691" s="63" t="str">
        <f t="shared" si="84"/>
        <v/>
      </c>
    </row>
    <row r="2692" spans="9:10">
      <c r="I2692" s="62" t="str">
        <f t="shared" si="83"/>
        <v/>
      </c>
      <c r="J2692" s="63" t="str">
        <f t="shared" si="84"/>
        <v/>
      </c>
    </row>
    <row r="2693" spans="9:10">
      <c r="I2693" s="62" t="str">
        <f t="shared" si="83"/>
        <v/>
      </c>
      <c r="J2693" s="63" t="str">
        <f t="shared" si="84"/>
        <v/>
      </c>
    </row>
    <row r="2694" spans="9:10">
      <c r="I2694" s="62" t="str">
        <f t="shared" si="83"/>
        <v/>
      </c>
      <c r="J2694" s="63" t="str">
        <f t="shared" si="84"/>
        <v/>
      </c>
    </row>
    <row r="2695" spans="9:10">
      <c r="I2695" s="62" t="str">
        <f t="shared" si="83"/>
        <v/>
      </c>
      <c r="J2695" s="63" t="str">
        <f t="shared" si="84"/>
        <v/>
      </c>
    </row>
    <row r="2696" spans="9:10">
      <c r="I2696" s="62" t="str">
        <f t="shared" si="83"/>
        <v/>
      </c>
      <c r="J2696" s="63" t="str">
        <f t="shared" si="84"/>
        <v/>
      </c>
    </row>
    <row r="2697" spans="9:10">
      <c r="I2697" s="62" t="str">
        <f t="shared" si="83"/>
        <v/>
      </c>
      <c r="J2697" s="63" t="str">
        <f t="shared" si="84"/>
        <v/>
      </c>
    </row>
    <row r="2698" spans="9:10">
      <c r="I2698" s="62" t="str">
        <f t="shared" si="83"/>
        <v/>
      </c>
      <c r="J2698" s="63" t="str">
        <f t="shared" si="84"/>
        <v/>
      </c>
    </row>
    <row r="2699" spans="9:10">
      <c r="I2699" s="62" t="str">
        <f t="shared" si="83"/>
        <v/>
      </c>
      <c r="J2699" s="63" t="str">
        <f t="shared" si="84"/>
        <v/>
      </c>
    </row>
    <row r="2700" spans="9:10">
      <c r="I2700" s="62" t="str">
        <f t="shared" ref="I2700:I2763" si="85">IF(B2700="","",IF(B2700="Total",I2698,IF(B2698="Total",I2698, IF(ISNUMBER(A2700),A2700,I2699))))</f>
        <v/>
      </c>
      <c r="J2700" s="63" t="str">
        <f t="shared" si="84"/>
        <v/>
      </c>
    </row>
    <row r="2701" spans="9:10">
      <c r="I2701" s="62" t="str">
        <f t="shared" si="85"/>
        <v/>
      </c>
      <c r="J2701" s="63" t="str">
        <f t="shared" si="84"/>
        <v/>
      </c>
    </row>
    <row r="2702" spans="9:10">
      <c r="I2702" s="62" t="str">
        <f t="shared" si="85"/>
        <v/>
      </c>
      <c r="J2702" s="63" t="str">
        <f t="shared" si="84"/>
        <v/>
      </c>
    </row>
    <row r="2703" spans="9:10">
      <c r="I2703" s="62" t="str">
        <f t="shared" si="85"/>
        <v/>
      </c>
      <c r="J2703" s="63" t="str">
        <f t="shared" ref="J2703:J2766" si="86">IF(B2703="","",IF(B2703="Total",J2701,IF(B2701="Total",J2701,IF(A2703="",J2702,IF(ISNUMBER(A2702),B2702,IF(ISNUMBER(A2703),B2703,J2702))))))</f>
        <v/>
      </c>
    </row>
    <row r="2704" spans="9:10">
      <c r="I2704" s="62" t="str">
        <f t="shared" si="85"/>
        <v/>
      </c>
      <c r="J2704" s="63" t="str">
        <f t="shared" si="86"/>
        <v/>
      </c>
    </row>
    <row r="2705" spans="9:10">
      <c r="I2705" s="62" t="str">
        <f t="shared" si="85"/>
        <v/>
      </c>
      <c r="J2705" s="63" t="str">
        <f t="shared" si="86"/>
        <v/>
      </c>
    </row>
    <row r="2706" spans="9:10">
      <c r="I2706" s="62" t="str">
        <f t="shared" si="85"/>
        <v/>
      </c>
      <c r="J2706" s="63" t="str">
        <f t="shared" si="86"/>
        <v/>
      </c>
    </row>
    <row r="2707" spans="9:10">
      <c r="I2707" s="62" t="str">
        <f t="shared" si="85"/>
        <v/>
      </c>
      <c r="J2707" s="63" t="str">
        <f t="shared" si="86"/>
        <v/>
      </c>
    </row>
    <row r="2708" spans="9:10">
      <c r="I2708" s="62" t="str">
        <f t="shared" si="85"/>
        <v/>
      </c>
      <c r="J2708" s="63" t="str">
        <f t="shared" si="86"/>
        <v/>
      </c>
    </row>
    <row r="2709" spans="9:10">
      <c r="I2709" s="62" t="str">
        <f t="shared" si="85"/>
        <v/>
      </c>
      <c r="J2709" s="63" t="str">
        <f t="shared" si="86"/>
        <v/>
      </c>
    </row>
    <row r="2710" spans="9:10">
      <c r="I2710" s="62" t="str">
        <f t="shared" si="85"/>
        <v/>
      </c>
      <c r="J2710" s="63" t="str">
        <f t="shared" si="86"/>
        <v/>
      </c>
    </row>
    <row r="2711" spans="9:10">
      <c r="I2711" s="62" t="str">
        <f t="shared" si="85"/>
        <v/>
      </c>
      <c r="J2711" s="63" t="str">
        <f t="shared" si="86"/>
        <v/>
      </c>
    </row>
    <row r="2712" spans="9:10">
      <c r="I2712" s="62" t="str">
        <f t="shared" si="85"/>
        <v/>
      </c>
      <c r="J2712" s="63" t="str">
        <f t="shared" si="86"/>
        <v/>
      </c>
    </row>
    <row r="2713" spans="9:10">
      <c r="I2713" s="62" t="str">
        <f t="shared" si="85"/>
        <v/>
      </c>
      <c r="J2713" s="63" t="str">
        <f t="shared" si="86"/>
        <v/>
      </c>
    </row>
    <row r="2714" spans="9:10">
      <c r="I2714" s="62" t="str">
        <f t="shared" si="85"/>
        <v/>
      </c>
      <c r="J2714" s="63" t="str">
        <f t="shared" si="86"/>
        <v/>
      </c>
    </row>
    <row r="2715" spans="9:10">
      <c r="I2715" s="62" t="str">
        <f t="shared" si="85"/>
        <v/>
      </c>
      <c r="J2715" s="63" t="str">
        <f t="shared" si="86"/>
        <v/>
      </c>
    </row>
    <row r="2716" spans="9:10">
      <c r="I2716" s="62" t="str">
        <f t="shared" si="85"/>
        <v/>
      </c>
      <c r="J2716" s="63" t="str">
        <f t="shared" si="86"/>
        <v/>
      </c>
    </row>
    <row r="2717" spans="9:10">
      <c r="I2717" s="62" t="str">
        <f t="shared" si="85"/>
        <v/>
      </c>
      <c r="J2717" s="63" t="str">
        <f t="shared" si="86"/>
        <v/>
      </c>
    </row>
    <row r="2718" spans="9:10">
      <c r="I2718" s="62" t="str">
        <f t="shared" si="85"/>
        <v/>
      </c>
      <c r="J2718" s="63" t="str">
        <f t="shared" si="86"/>
        <v/>
      </c>
    </row>
    <row r="2719" spans="9:10">
      <c r="I2719" s="62" t="str">
        <f t="shared" si="85"/>
        <v/>
      </c>
      <c r="J2719" s="63" t="str">
        <f t="shared" si="86"/>
        <v/>
      </c>
    </row>
    <row r="2720" spans="9:10">
      <c r="I2720" s="62" t="str">
        <f t="shared" si="85"/>
        <v/>
      </c>
      <c r="J2720" s="63" t="str">
        <f t="shared" si="86"/>
        <v/>
      </c>
    </row>
    <row r="2721" spans="9:10">
      <c r="I2721" s="62" t="str">
        <f t="shared" si="85"/>
        <v/>
      </c>
      <c r="J2721" s="63" t="str">
        <f t="shared" si="86"/>
        <v/>
      </c>
    </row>
    <row r="2722" spans="9:10">
      <c r="I2722" s="62" t="str">
        <f t="shared" si="85"/>
        <v/>
      </c>
      <c r="J2722" s="63" t="str">
        <f t="shared" si="86"/>
        <v/>
      </c>
    </row>
    <row r="2723" spans="9:10">
      <c r="I2723" s="62" t="str">
        <f t="shared" si="85"/>
        <v/>
      </c>
      <c r="J2723" s="63" t="str">
        <f t="shared" si="86"/>
        <v/>
      </c>
    </row>
    <row r="2724" spans="9:10">
      <c r="I2724" s="62" t="str">
        <f t="shared" si="85"/>
        <v/>
      </c>
      <c r="J2724" s="63" t="str">
        <f t="shared" si="86"/>
        <v/>
      </c>
    </row>
    <row r="2725" spans="9:10">
      <c r="I2725" s="62" t="str">
        <f t="shared" si="85"/>
        <v/>
      </c>
      <c r="J2725" s="63" t="str">
        <f t="shared" si="86"/>
        <v/>
      </c>
    </row>
    <row r="2726" spans="9:10">
      <c r="I2726" s="62" t="str">
        <f t="shared" si="85"/>
        <v/>
      </c>
      <c r="J2726" s="63" t="str">
        <f t="shared" si="86"/>
        <v/>
      </c>
    </row>
    <row r="2727" spans="9:10">
      <c r="I2727" s="62" t="str">
        <f t="shared" si="85"/>
        <v/>
      </c>
      <c r="J2727" s="63" t="str">
        <f t="shared" si="86"/>
        <v/>
      </c>
    </row>
    <row r="2728" spans="9:10">
      <c r="I2728" s="62" t="str">
        <f t="shared" si="85"/>
        <v/>
      </c>
      <c r="J2728" s="63" t="str">
        <f t="shared" si="86"/>
        <v/>
      </c>
    </row>
    <row r="2729" spans="9:10">
      <c r="I2729" s="62" t="str">
        <f t="shared" si="85"/>
        <v/>
      </c>
      <c r="J2729" s="63" t="str">
        <f t="shared" si="86"/>
        <v/>
      </c>
    </row>
    <row r="2730" spans="9:10">
      <c r="I2730" s="62" t="str">
        <f t="shared" si="85"/>
        <v/>
      </c>
      <c r="J2730" s="63" t="str">
        <f t="shared" si="86"/>
        <v/>
      </c>
    </row>
    <row r="2731" spans="9:10">
      <c r="I2731" s="62" t="str">
        <f t="shared" si="85"/>
        <v/>
      </c>
      <c r="J2731" s="63" t="str">
        <f t="shared" si="86"/>
        <v/>
      </c>
    </row>
    <row r="2732" spans="9:10">
      <c r="I2732" s="62" t="str">
        <f t="shared" si="85"/>
        <v/>
      </c>
      <c r="J2732" s="63" t="str">
        <f t="shared" si="86"/>
        <v/>
      </c>
    </row>
    <row r="2733" spans="9:10">
      <c r="I2733" s="62" t="str">
        <f t="shared" si="85"/>
        <v/>
      </c>
      <c r="J2733" s="63" t="str">
        <f t="shared" si="86"/>
        <v/>
      </c>
    </row>
    <row r="2734" spans="9:10">
      <c r="I2734" s="62" t="str">
        <f t="shared" si="85"/>
        <v/>
      </c>
      <c r="J2734" s="63" t="str">
        <f t="shared" si="86"/>
        <v/>
      </c>
    </row>
    <row r="2735" spans="9:10">
      <c r="I2735" s="62" t="str">
        <f t="shared" si="85"/>
        <v/>
      </c>
      <c r="J2735" s="63" t="str">
        <f t="shared" si="86"/>
        <v/>
      </c>
    </row>
    <row r="2736" spans="9:10">
      <c r="I2736" s="62" t="str">
        <f t="shared" si="85"/>
        <v/>
      </c>
      <c r="J2736" s="63" t="str">
        <f t="shared" si="86"/>
        <v/>
      </c>
    </row>
    <row r="2737" spans="9:10">
      <c r="I2737" s="62" t="str">
        <f t="shared" si="85"/>
        <v/>
      </c>
      <c r="J2737" s="63" t="str">
        <f t="shared" si="86"/>
        <v/>
      </c>
    </row>
    <row r="2738" spans="9:10">
      <c r="I2738" s="62" t="str">
        <f t="shared" si="85"/>
        <v/>
      </c>
      <c r="J2738" s="63" t="str">
        <f t="shared" si="86"/>
        <v/>
      </c>
    </row>
    <row r="2739" spans="9:10">
      <c r="I2739" s="62" t="str">
        <f t="shared" si="85"/>
        <v/>
      </c>
      <c r="J2739" s="63" t="str">
        <f t="shared" si="86"/>
        <v/>
      </c>
    </row>
    <row r="2740" spans="9:10">
      <c r="I2740" s="62" t="str">
        <f t="shared" si="85"/>
        <v/>
      </c>
      <c r="J2740" s="63" t="str">
        <f t="shared" si="86"/>
        <v/>
      </c>
    </row>
    <row r="2741" spans="9:10">
      <c r="I2741" s="62" t="str">
        <f t="shared" si="85"/>
        <v/>
      </c>
      <c r="J2741" s="63" t="str">
        <f t="shared" si="86"/>
        <v/>
      </c>
    </row>
    <row r="2742" spans="9:10">
      <c r="I2742" s="62" t="str">
        <f t="shared" si="85"/>
        <v/>
      </c>
      <c r="J2742" s="63" t="str">
        <f t="shared" si="86"/>
        <v/>
      </c>
    </row>
    <row r="2743" spans="9:10">
      <c r="I2743" s="62" t="str">
        <f t="shared" si="85"/>
        <v/>
      </c>
      <c r="J2743" s="63" t="str">
        <f t="shared" si="86"/>
        <v/>
      </c>
    </row>
    <row r="2744" spans="9:10">
      <c r="I2744" s="62" t="str">
        <f t="shared" si="85"/>
        <v/>
      </c>
      <c r="J2744" s="63" t="str">
        <f t="shared" si="86"/>
        <v/>
      </c>
    </row>
    <row r="2745" spans="9:10">
      <c r="I2745" s="62" t="str">
        <f t="shared" si="85"/>
        <v/>
      </c>
      <c r="J2745" s="63" t="str">
        <f t="shared" si="86"/>
        <v/>
      </c>
    </row>
    <row r="2746" spans="9:10">
      <c r="I2746" s="62" t="str">
        <f t="shared" si="85"/>
        <v/>
      </c>
      <c r="J2746" s="63" t="str">
        <f t="shared" si="86"/>
        <v/>
      </c>
    </row>
    <row r="2747" spans="9:10">
      <c r="I2747" s="62" t="str">
        <f t="shared" si="85"/>
        <v/>
      </c>
      <c r="J2747" s="63" t="str">
        <f t="shared" si="86"/>
        <v/>
      </c>
    </row>
    <row r="2748" spans="9:10">
      <c r="I2748" s="62" t="str">
        <f t="shared" si="85"/>
        <v/>
      </c>
      <c r="J2748" s="63" t="str">
        <f t="shared" si="86"/>
        <v/>
      </c>
    </row>
    <row r="2749" spans="9:10">
      <c r="I2749" s="62" t="str">
        <f t="shared" si="85"/>
        <v/>
      </c>
      <c r="J2749" s="63" t="str">
        <f t="shared" si="86"/>
        <v/>
      </c>
    </row>
    <row r="2750" spans="9:10">
      <c r="I2750" s="62" t="str">
        <f t="shared" si="85"/>
        <v/>
      </c>
      <c r="J2750" s="63" t="str">
        <f t="shared" si="86"/>
        <v/>
      </c>
    </row>
    <row r="2751" spans="9:10">
      <c r="I2751" s="62" t="str">
        <f t="shared" si="85"/>
        <v/>
      </c>
      <c r="J2751" s="63" t="str">
        <f t="shared" si="86"/>
        <v/>
      </c>
    </row>
    <row r="2752" spans="9:10">
      <c r="I2752" s="62" t="str">
        <f t="shared" si="85"/>
        <v/>
      </c>
      <c r="J2752" s="63" t="str">
        <f t="shared" si="86"/>
        <v/>
      </c>
    </row>
    <row r="2753" spans="9:10">
      <c r="I2753" s="62" t="str">
        <f t="shared" si="85"/>
        <v/>
      </c>
      <c r="J2753" s="63" t="str">
        <f t="shared" si="86"/>
        <v/>
      </c>
    </row>
    <row r="2754" spans="9:10">
      <c r="I2754" s="62" t="str">
        <f t="shared" si="85"/>
        <v/>
      </c>
      <c r="J2754" s="63" t="str">
        <f t="shared" si="86"/>
        <v/>
      </c>
    </row>
    <row r="2755" spans="9:10">
      <c r="I2755" s="62" t="str">
        <f t="shared" si="85"/>
        <v/>
      </c>
      <c r="J2755" s="63" t="str">
        <f t="shared" si="86"/>
        <v/>
      </c>
    </row>
    <row r="2756" spans="9:10">
      <c r="I2756" s="62" t="str">
        <f t="shared" si="85"/>
        <v/>
      </c>
      <c r="J2756" s="63" t="str">
        <f t="shared" si="86"/>
        <v/>
      </c>
    </row>
    <row r="2757" spans="9:10">
      <c r="I2757" s="62" t="str">
        <f t="shared" si="85"/>
        <v/>
      </c>
      <c r="J2757" s="63" t="str">
        <f t="shared" si="86"/>
        <v/>
      </c>
    </row>
    <row r="2758" spans="9:10">
      <c r="I2758" s="62" t="str">
        <f t="shared" si="85"/>
        <v/>
      </c>
      <c r="J2758" s="63" t="str">
        <f t="shared" si="86"/>
        <v/>
      </c>
    </row>
    <row r="2759" spans="9:10">
      <c r="I2759" s="62" t="str">
        <f t="shared" si="85"/>
        <v/>
      </c>
      <c r="J2759" s="63" t="str">
        <f t="shared" si="86"/>
        <v/>
      </c>
    </row>
    <row r="2760" spans="9:10">
      <c r="I2760" s="62" t="str">
        <f t="shared" si="85"/>
        <v/>
      </c>
      <c r="J2760" s="63" t="str">
        <f t="shared" si="86"/>
        <v/>
      </c>
    </row>
    <row r="2761" spans="9:10">
      <c r="I2761" s="62" t="str">
        <f t="shared" si="85"/>
        <v/>
      </c>
      <c r="J2761" s="63" t="str">
        <f t="shared" si="86"/>
        <v/>
      </c>
    </row>
    <row r="2762" spans="9:10">
      <c r="I2762" s="62" t="str">
        <f t="shared" si="85"/>
        <v/>
      </c>
      <c r="J2762" s="63" t="str">
        <f t="shared" si="86"/>
        <v/>
      </c>
    </row>
    <row r="2763" spans="9:10">
      <c r="I2763" s="62" t="str">
        <f t="shared" si="85"/>
        <v/>
      </c>
      <c r="J2763" s="63" t="str">
        <f t="shared" si="86"/>
        <v/>
      </c>
    </row>
    <row r="2764" spans="9:10">
      <c r="I2764" s="62" t="str">
        <f t="shared" ref="I2764:I2827" si="87">IF(B2764="","",IF(B2764="Total",I2762,IF(B2762="Total",I2762, IF(ISNUMBER(A2764),A2764,I2763))))</f>
        <v/>
      </c>
      <c r="J2764" s="63" t="str">
        <f t="shared" si="86"/>
        <v/>
      </c>
    </row>
    <row r="2765" spans="9:10">
      <c r="I2765" s="62" t="str">
        <f t="shared" si="87"/>
        <v/>
      </c>
      <c r="J2765" s="63" t="str">
        <f t="shared" si="86"/>
        <v/>
      </c>
    </row>
    <row r="2766" spans="9:10">
      <c r="I2766" s="62" t="str">
        <f t="shared" si="87"/>
        <v/>
      </c>
      <c r="J2766" s="63" t="str">
        <f t="shared" si="86"/>
        <v/>
      </c>
    </row>
    <row r="2767" spans="9:10">
      <c r="I2767" s="62" t="str">
        <f t="shared" si="87"/>
        <v/>
      </c>
      <c r="J2767" s="63" t="str">
        <f t="shared" ref="J2767:J2830" si="88">IF(B2767="","",IF(B2767="Total",J2765,IF(B2765="Total",J2765,IF(A2767="",J2766,IF(ISNUMBER(A2766),B2766,IF(ISNUMBER(A2767),B2767,J2766))))))</f>
        <v/>
      </c>
    </row>
    <row r="2768" spans="9:10">
      <c r="I2768" s="62" t="str">
        <f t="shared" si="87"/>
        <v/>
      </c>
      <c r="J2768" s="63" t="str">
        <f t="shared" si="88"/>
        <v/>
      </c>
    </row>
    <row r="2769" spans="9:10">
      <c r="I2769" s="62" t="str">
        <f t="shared" si="87"/>
        <v/>
      </c>
      <c r="J2769" s="63" t="str">
        <f t="shared" si="88"/>
        <v/>
      </c>
    </row>
    <row r="2770" spans="9:10">
      <c r="I2770" s="62" t="str">
        <f t="shared" si="87"/>
        <v/>
      </c>
      <c r="J2770" s="63" t="str">
        <f t="shared" si="88"/>
        <v/>
      </c>
    </row>
    <row r="2771" spans="9:10">
      <c r="I2771" s="62" t="str">
        <f t="shared" si="87"/>
        <v/>
      </c>
      <c r="J2771" s="63" t="str">
        <f t="shared" si="88"/>
        <v/>
      </c>
    </row>
    <row r="2772" spans="9:10">
      <c r="I2772" s="62" t="str">
        <f t="shared" si="87"/>
        <v/>
      </c>
      <c r="J2772" s="63" t="str">
        <f t="shared" si="88"/>
        <v/>
      </c>
    </row>
    <row r="2773" spans="9:10">
      <c r="I2773" s="62" t="str">
        <f t="shared" si="87"/>
        <v/>
      </c>
      <c r="J2773" s="63" t="str">
        <f t="shared" si="88"/>
        <v/>
      </c>
    </row>
    <row r="2774" spans="9:10">
      <c r="I2774" s="62" t="str">
        <f t="shared" si="87"/>
        <v/>
      </c>
      <c r="J2774" s="63" t="str">
        <f t="shared" si="88"/>
        <v/>
      </c>
    </row>
    <row r="2775" spans="9:10">
      <c r="I2775" s="62" t="str">
        <f t="shared" si="87"/>
        <v/>
      </c>
      <c r="J2775" s="63" t="str">
        <f t="shared" si="88"/>
        <v/>
      </c>
    </row>
    <row r="2776" spans="9:10">
      <c r="I2776" s="62" t="str">
        <f t="shared" si="87"/>
        <v/>
      </c>
      <c r="J2776" s="63" t="str">
        <f t="shared" si="88"/>
        <v/>
      </c>
    </row>
    <row r="2777" spans="9:10">
      <c r="I2777" s="62" t="str">
        <f t="shared" si="87"/>
        <v/>
      </c>
      <c r="J2777" s="63" t="str">
        <f t="shared" si="88"/>
        <v/>
      </c>
    </row>
    <row r="2778" spans="9:10">
      <c r="I2778" s="62" t="str">
        <f t="shared" si="87"/>
        <v/>
      </c>
      <c r="J2778" s="63" t="str">
        <f t="shared" si="88"/>
        <v/>
      </c>
    </row>
    <row r="2779" spans="9:10">
      <c r="I2779" s="62" t="str">
        <f t="shared" si="87"/>
        <v/>
      </c>
      <c r="J2779" s="63" t="str">
        <f t="shared" si="88"/>
        <v/>
      </c>
    </row>
    <row r="2780" spans="9:10">
      <c r="I2780" s="62" t="str">
        <f t="shared" si="87"/>
        <v/>
      </c>
      <c r="J2780" s="63" t="str">
        <f t="shared" si="88"/>
        <v/>
      </c>
    </row>
    <row r="2781" spans="9:10">
      <c r="I2781" s="62" t="str">
        <f t="shared" si="87"/>
        <v/>
      </c>
      <c r="J2781" s="63" t="str">
        <f t="shared" si="88"/>
        <v/>
      </c>
    </row>
    <row r="2782" spans="9:10">
      <c r="I2782" s="62" t="str">
        <f t="shared" si="87"/>
        <v/>
      </c>
      <c r="J2782" s="63" t="str">
        <f t="shared" si="88"/>
        <v/>
      </c>
    </row>
    <row r="2783" spans="9:10">
      <c r="I2783" s="62" t="str">
        <f t="shared" si="87"/>
        <v/>
      </c>
      <c r="J2783" s="63" t="str">
        <f t="shared" si="88"/>
        <v/>
      </c>
    </row>
    <row r="2784" spans="9:10">
      <c r="I2784" s="62" t="str">
        <f t="shared" si="87"/>
        <v/>
      </c>
      <c r="J2784" s="63" t="str">
        <f t="shared" si="88"/>
        <v/>
      </c>
    </row>
    <row r="2785" spans="9:10">
      <c r="I2785" s="62" t="str">
        <f t="shared" si="87"/>
        <v/>
      </c>
      <c r="J2785" s="63" t="str">
        <f t="shared" si="88"/>
        <v/>
      </c>
    </row>
    <row r="2786" spans="9:10">
      <c r="I2786" s="62" t="str">
        <f t="shared" si="87"/>
        <v/>
      </c>
      <c r="J2786" s="63" t="str">
        <f t="shared" si="88"/>
        <v/>
      </c>
    </row>
    <row r="2787" spans="9:10">
      <c r="I2787" s="62" t="str">
        <f t="shared" si="87"/>
        <v/>
      </c>
      <c r="J2787" s="63" t="str">
        <f t="shared" si="88"/>
        <v/>
      </c>
    </row>
    <row r="2788" spans="9:10">
      <c r="I2788" s="62" t="str">
        <f t="shared" si="87"/>
        <v/>
      </c>
      <c r="J2788" s="63" t="str">
        <f t="shared" si="88"/>
        <v/>
      </c>
    </row>
    <row r="2789" spans="9:10">
      <c r="I2789" s="62" t="str">
        <f t="shared" si="87"/>
        <v/>
      </c>
      <c r="J2789" s="63" t="str">
        <f t="shared" si="88"/>
        <v/>
      </c>
    </row>
    <row r="2790" spans="9:10">
      <c r="I2790" s="62" t="str">
        <f t="shared" si="87"/>
        <v/>
      </c>
      <c r="J2790" s="63" t="str">
        <f t="shared" si="88"/>
        <v/>
      </c>
    </row>
    <row r="2791" spans="9:10">
      <c r="I2791" s="62" t="str">
        <f t="shared" si="87"/>
        <v/>
      </c>
      <c r="J2791" s="63" t="str">
        <f t="shared" si="88"/>
        <v/>
      </c>
    </row>
    <row r="2792" spans="9:10">
      <c r="I2792" s="62" t="str">
        <f t="shared" si="87"/>
        <v/>
      </c>
      <c r="J2792" s="63" t="str">
        <f t="shared" si="88"/>
        <v/>
      </c>
    </row>
    <row r="2793" spans="9:10">
      <c r="I2793" s="62" t="str">
        <f t="shared" si="87"/>
        <v/>
      </c>
      <c r="J2793" s="63" t="str">
        <f t="shared" si="88"/>
        <v/>
      </c>
    </row>
    <row r="2794" spans="9:10">
      <c r="I2794" s="62" t="str">
        <f t="shared" si="87"/>
        <v/>
      </c>
      <c r="J2794" s="63" t="str">
        <f t="shared" si="88"/>
        <v/>
      </c>
    </row>
    <row r="2795" spans="9:10">
      <c r="I2795" s="62" t="str">
        <f t="shared" si="87"/>
        <v/>
      </c>
      <c r="J2795" s="63" t="str">
        <f t="shared" si="88"/>
        <v/>
      </c>
    </row>
    <row r="2796" spans="9:10">
      <c r="I2796" s="62" t="str">
        <f t="shared" si="87"/>
        <v/>
      </c>
      <c r="J2796" s="63" t="str">
        <f t="shared" si="88"/>
        <v/>
      </c>
    </row>
    <row r="2797" spans="9:10">
      <c r="I2797" s="62" t="str">
        <f t="shared" si="87"/>
        <v/>
      </c>
      <c r="J2797" s="63" t="str">
        <f t="shared" si="88"/>
        <v/>
      </c>
    </row>
    <row r="2798" spans="9:10">
      <c r="I2798" s="62" t="str">
        <f t="shared" si="87"/>
        <v/>
      </c>
      <c r="J2798" s="63" t="str">
        <f t="shared" si="88"/>
        <v/>
      </c>
    </row>
    <row r="2799" spans="9:10">
      <c r="I2799" s="62" t="str">
        <f t="shared" si="87"/>
        <v/>
      </c>
      <c r="J2799" s="63" t="str">
        <f t="shared" si="88"/>
        <v/>
      </c>
    </row>
    <row r="2800" spans="9:10">
      <c r="I2800" s="62" t="str">
        <f t="shared" si="87"/>
        <v/>
      </c>
      <c r="J2800" s="63" t="str">
        <f t="shared" si="88"/>
        <v/>
      </c>
    </row>
    <row r="2801" spans="9:10">
      <c r="I2801" s="62" t="str">
        <f t="shared" si="87"/>
        <v/>
      </c>
      <c r="J2801" s="63" t="str">
        <f t="shared" si="88"/>
        <v/>
      </c>
    </row>
    <row r="2802" spans="9:10">
      <c r="I2802" s="62" t="str">
        <f t="shared" si="87"/>
        <v/>
      </c>
      <c r="J2802" s="63" t="str">
        <f t="shared" si="88"/>
        <v/>
      </c>
    </row>
    <row r="2803" spans="9:10">
      <c r="I2803" s="62" t="str">
        <f t="shared" si="87"/>
        <v/>
      </c>
      <c r="J2803" s="63" t="str">
        <f t="shared" si="88"/>
        <v/>
      </c>
    </row>
    <row r="2804" spans="9:10">
      <c r="I2804" s="62" t="str">
        <f t="shared" si="87"/>
        <v/>
      </c>
      <c r="J2804" s="63" t="str">
        <f t="shared" si="88"/>
        <v/>
      </c>
    </row>
    <row r="2805" spans="9:10">
      <c r="I2805" s="62" t="str">
        <f t="shared" si="87"/>
        <v/>
      </c>
      <c r="J2805" s="63" t="str">
        <f t="shared" si="88"/>
        <v/>
      </c>
    </row>
    <row r="2806" spans="9:10">
      <c r="I2806" s="62" t="str">
        <f t="shared" si="87"/>
        <v/>
      </c>
      <c r="J2806" s="63" t="str">
        <f t="shared" si="88"/>
        <v/>
      </c>
    </row>
    <row r="2807" spans="9:10">
      <c r="I2807" s="62" t="str">
        <f t="shared" si="87"/>
        <v/>
      </c>
      <c r="J2807" s="63" t="str">
        <f t="shared" si="88"/>
        <v/>
      </c>
    </row>
    <row r="2808" spans="9:10">
      <c r="I2808" s="62" t="str">
        <f t="shared" si="87"/>
        <v/>
      </c>
      <c r="J2808" s="63" t="str">
        <f t="shared" si="88"/>
        <v/>
      </c>
    </row>
    <row r="2809" spans="9:10">
      <c r="I2809" s="62" t="str">
        <f t="shared" si="87"/>
        <v/>
      </c>
      <c r="J2809" s="63" t="str">
        <f t="shared" si="88"/>
        <v/>
      </c>
    </row>
    <row r="2810" spans="9:10">
      <c r="I2810" s="62" t="str">
        <f t="shared" si="87"/>
        <v/>
      </c>
      <c r="J2810" s="63" t="str">
        <f t="shared" si="88"/>
        <v/>
      </c>
    </row>
    <row r="2811" spans="9:10">
      <c r="I2811" s="62" t="str">
        <f t="shared" si="87"/>
        <v/>
      </c>
      <c r="J2811" s="63" t="str">
        <f t="shared" si="88"/>
        <v/>
      </c>
    </row>
    <row r="2812" spans="9:10">
      <c r="I2812" s="62" t="str">
        <f t="shared" si="87"/>
        <v/>
      </c>
      <c r="J2812" s="63" t="str">
        <f t="shared" si="88"/>
        <v/>
      </c>
    </row>
    <row r="2813" spans="9:10">
      <c r="I2813" s="62" t="str">
        <f t="shared" si="87"/>
        <v/>
      </c>
      <c r="J2813" s="63" t="str">
        <f t="shared" si="88"/>
        <v/>
      </c>
    </row>
    <row r="2814" spans="9:10">
      <c r="I2814" s="62" t="str">
        <f t="shared" si="87"/>
        <v/>
      </c>
      <c r="J2814" s="63" t="str">
        <f t="shared" si="88"/>
        <v/>
      </c>
    </row>
    <row r="2815" spans="9:10">
      <c r="I2815" s="62" t="str">
        <f t="shared" si="87"/>
        <v/>
      </c>
      <c r="J2815" s="63" t="str">
        <f t="shared" si="88"/>
        <v/>
      </c>
    </row>
    <row r="2816" spans="9:10">
      <c r="I2816" s="62" t="str">
        <f t="shared" si="87"/>
        <v/>
      </c>
      <c r="J2816" s="63" t="str">
        <f t="shared" si="88"/>
        <v/>
      </c>
    </row>
    <row r="2817" spans="9:10">
      <c r="I2817" s="62" t="str">
        <f t="shared" si="87"/>
        <v/>
      </c>
      <c r="J2817" s="63" t="str">
        <f t="shared" si="88"/>
        <v/>
      </c>
    </row>
    <row r="2818" spans="9:10">
      <c r="I2818" s="62" t="str">
        <f t="shared" si="87"/>
        <v/>
      </c>
      <c r="J2818" s="63" t="str">
        <f t="shared" si="88"/>
        <v/>
      </c>
    </row>
    <row r="2819" spans="9:10">
      <c r="I2819" s="62" t="str">
        <f t="shared" si="87"/>
        <v/>
      </c>
      <c r="J2819" s="63" t="str">
        <f t="shared" si="88"/>
        <v/>
      </c>
    </row>
    <row r="2820" spans="9:10">
      <c r="I2820" s="62" t="str">
        <f t="shared" si="87"/>
        <v/>
      </c>
      <c r="J2820" s="63" t="str">
        <f t="shared" si="88"/>
        <v/>
      </c>
    </row>
    <row r="2821" spans="9:10">
      <c r="I2821" s="62" t="str">
        <f t="shared" si="87"/>
        <v/>
      </c>
      <c r="J2821" s="63" t="str">
        <f t="shared" si="88"/>
        <v/>
      </c>
    </row>
    <row r="2822" spans="9:10">
      <c r="I2822" s="62" t="str">
        <f t="shared" si="87"/>
        <v/>
      </c>
      <c r="J2822" s="63" t="str">
        <f t="shared" si="88"/>
        <v/>
      </c>
    </row>
    <row r="2823" spans="9:10">
      <c r="I2823" s="62" t="str">
        <f t="shared" si="87"/>
        <v/>
      </c>
      <c r="J2823" s="63" t="str">
        <f t="shared" si="88"/>
        <v/>
      </c>
    </row>
    <row r="2824" spans="9:10">
      <c r="I2824" s="62" t="str">
        <f t="shared" si="87"/>
        <v/>
      </c>
      <c r="J2824" s="63" t="str">
        <f t="shared" si="88"/>
        <v/>
      </c>
    </row>
    <row r="2825" spans="9:10">
      <c r="I2825" s="62" t="str">
        <f t="shared" si="87"/>
        <v/>
      </c>
      <c r="J2825" s="63" t="str">
        <f t="shared" si="88"/>
        <v/>
      </c>
    </row>
    <row r="2826" spans="9:10">
      <c r="I2826" s="62" t="str">
        <f t="shared" si="87"/>
        <v/>
      </c>
      <c r="J2826" s="63" t="str">
        <f t="shared" si="88"/>
        <v/>
      </c>
    </row>
    <row r="2827" spans="9:10">
      <c r="I2827" s="62" t="str">
        <f t="shared" si="87"/>
        <v/>
      </c>
      <c r="J2827" s="63" t="str">
        <f t="shared" si="88"/>
        <v/>
      </c>
    </row>
    <row r="2828" spans="9:10">
      <c r="I2828" s="62" t="str">
        <f t="shared" ref="I2828:I2891" si="89">IF(B2828="","",IF(B2828="Total",I2826,IF(B2826="Total",I2826, IF(ISNUMBER(A2828),A2828,I2827))))</f>
        <v/>
      </c>
      <c r="J2828" s="63" t="str">
        <f t="shared" si="88"/>
        <v/>
      </c>
    </row>
    <row r="2829" spans="9:10">
      <c r="I2829" s="62" t="str">
        <f t="shared" si="89"/>
        <v/>
      </c>
      <c r="J2829" s="63" t="str">
        <f t="shared" si="88"/>
        <v/>
      </c>
    </row>
    <row r="2830" spans="9:10">
      <c r="I2830" s="62" t="str">
        <f t="shared" si="89"/>
        <v/>
      </c>
      <c r="J2830" s="63" t="str">
        <f t="shared" si="88"/>
        <v/>
      </c>
    </row>
    <row r="2831" spans="9:10">
      <c r="I2831" s="62" t="str">
        <f t="shared" si="89"/>
        <v/>
      </c>
      <c r="J2831" s="63" t="str">
        <f t="shared" ref="J2831:J2894" si="90">IF(B2831="","",IF(B2831="Total",J2829,IF(B2829="Total",J2829,IF(A2831="",J2830,IF(ISNUMBER(A2830),B2830,IF(ISNUMBER(A2831),B2831,J2830))))))</f>
        <v/>
      </c>
    </row>
    <row r="2832" spans="9:10">
      <c r="I2832" s="62" t="str">
        <f t="shared" si="89"/>
        <v/>
      </c>
      <c r="J2832" s="63" t="str">
        <f t="shared" si="90"/>
        <v/>
      </c>
    </row>
    <row r="2833" spans="9:10">
      <c r="I2833" s="62" t="str">
        <f t="shared" si="89"/>
        <v/>
      </c>
      <c r="J2833" s="63" t="str">
        <f t="shared" si="90"/>
        <v/>
      </c>
    </row>
    <row r="2834" spans="9:10">
      <c r="I2834" s="62" t="str">
        <f t="shared" si="89"/>
        <v/>
      </c>
      <c r="J2834" s="63" t="str">
        <f t="shared" si="90"/>
        <v/>
      </c>
    </row>
    <row r="2835" spans="9:10">
      <c r="I2835" s="62" t="str">
        <f t="shared" si="89"/>
        <v/>
      </c>
      <c r="J2835" s="63" t="str">
        <f t="shared" si="90"/>
        <v/>
      </c>
    </row>
    <row r="2836" spans="9:10">
      <c r="I2836" s="62" t="str">
        <f t="shared" si="89"/>
        <v/>
      </c>
      <c r="J2836" s="63" t="str">
        <f t="shared" si="90"/>
        <v/>
      </c>
    </row>
    <row r="2837" spans="9:10">
      <c r="I2837" s="62" t="str">
        <f t="shared" si="89"/>
        <v/>
      </c>
      <c r="J2837" s="63" t="str">
        <f t="shared" si="90"/>
        <v/>
      </c>
    </row>
    <row r="2838" spans="9:10">
      <c r="I2838" s="62" t="str">
        <f t="shared" si="89"/>
        <v/>
      </c>
      <c r="J2838" s="63" t="str">
        <f t="shared" si="90"/>
        <v/>
      </c>
    </row>
    <row r="2839" spans="9:10">
      <c r="I2839" s="62" t="str">
        <f t="shared" si="89"/>
        <v/>
      </c>
      <c r="J2839" s="63" t="str">
        <f t="shared" si="90"/>
        <v/>
      </c>
    </row>
    <row r="2840" spans="9:10">
      <c r="I2840" s="62" t="str">
        <f t="shared" si="89"/>
        <v/>
      </c>
      <c r="J2840" s="63" t="str">
        <f t="shared" si="90"/>
        <v/>
      </c>
    </row>
    <row r="2841" spans="9:10">
      <c r="I2841" s="62" t="str">
        <f t="shared" si="89"/>
        <v/>
      </c>
      <c r="J2841" s="63" t="str">
        <f t="shared" si="90"/>
        <v/>
      </c>
    </row>
    <row r="2842" spans="9:10">
      <c r="I2842" s="62" t="str">
        <f t="shared" si="89"/>
        <v/>
      </c>
      <c r="J2842" s="63" t="str">
        <f t="shared" si="90"/>
        <v/>
      </c>
    </row>
    <row r="2843" spans="9:10">
      <c r="I2843" s="62" t="str">
        <f t="shared" si="89"/>
        <v/>
      </c>
      <c r="J2843" s="63" t="str">
        <f t="shared" si="90"/>
        <v/>
      </c>
    </row>
    <row r="2844" spans="9:10">
      <c r="I2844" s="62" t="str">
        <f t="shared" si="89"/>
        <v/>
      </c>
      <c r="J2844" s="63" t="str">
        <f t="shared" si="90"/>
        <v/>
      </c>
    </row>
    <row r="2845" spans="9:10">
      <c r="I2845" s="62" t="str">
        <f t="shared" si="89"/>
        <v/>
      </c>
      <c r="J2845" s="63" t="str">
        <f t="shared" si="90"/>
        <v/>
      </c>
    </row>
    <row r="2846" spans="9:10">
      <c r="I2846" s="62" t="str">
        <f t="shared" si="89"/>
        <v/>
      </c>
      <c r="J2846" s="63" t="str">
        <f t="shared" si="90"/>
        <v/>
      </c>
    </row>
    <row r="2847" spans="9:10">
      <c r="I2847" s="62" t="str">
        <f t="shared" si="89"/>
        <v/>
      </c>
      <c r="J2847" s="63" t="str">
        <f t="shared" si="90"/>
        <v/>
      </c>
    </row>
    <row r="2848" spans="9:10">
      <c r="I2848" s="62" t="str">
        <f t="shared" si="89"/>
        <v/>
      </c>
      <c r="J2848" s="63" t="str">
        <f t="shared" si="90"/>
        <v/>
      </c>
    </row>
    <row r="2849" spans="9:10">
      <c r="I2849" s="62" t="str">
        <f t="shared" si="89"/>
        <v/>
      </c>
      <c r="J2849" s="63" t="str">
        <f t="shared" si="90"/>
        <v/>
      </c>
    </row>
    <row r="2850" spans="9:10">
      <c r="I2850" s="62" t="str">
        <f t="shared" si="89"/>
        <v/>
      </c>
      <c r="J2850" s="63" t="str">
        <f t="shared" si="90"/>
        <v/>
      </c>
    </row>
    <row r="2851" spans="9:10">
      <c r="I2851" s="62" t="str">
        <f t="shared" si="89"/>
        <v/>
      </c>
      <c r="J2851" s="63" t="str">
        <f t="shared" si="90"/>
        <v/>
      </c>
    </row>
    <row r="2852" spans="9:10">
      <c r="I2852" s="62" t="str">
        <f t="shared" si="89"/>
        <v/>
      </c>
      <c r="J2852" s="63" t="str">
        <f t="shared" si="90"/>
        <v/>
      </c>
    </row>
    <row r="2853" spans="9:10">
      <c r="I2853" s="62" t="str">
        <f t="shared" si="89"/>
        <v/>
      </c>
      <c r="J2853" s="63" t="str">
        <f t="shared" si="90"/>
        <v/>
      </c>
    </row>
    <row r="2854" spans="9:10">
      <c r="I2854" s="62" t="str">
        <f t="shared" si="89"/>
        <v/>
      </c>
      <c r="J2854" s="63" t="str">
        <f t="shared" si="90"/>
        <v/>
      </c>
    </row>
    <row r="2855" spans="9:10">
      <c r="I2855" s="62" t="str">
        <f t="shared" si="89"/>
        <v/>
      </c>
      <c r="J2855" s="63" t="str">
        <f t="shared" si="90"/>
        <v/>
      </c>
    </row>
    <row r="2856" spans="9:10">
      <c r="I2856" s="62" t="str">
        <f t="shared" si="89"/>
        <v/>
      </c>
      <c r="J2856" s="63" t="str">
        <f t="shared" si="90"/>
        <v/>
      </c>
    </row>
    <row r="2857" spans="9:10">
      <c r="I2857" s="62" t="str">
        <f t="shared" si="89"/>
        <v/>
      </c>
      <c r="J2857" s="63" t="str">
        <f t="shared" si="90"/>
        <v/>
      </c>
    </row>
    <row r="2858" spans="9:10">
      <c r="I2858" s="62" t="str">
        <f t="shared" si="89"/>
        <v/>
      </c>
      <c r="J2858" s="63" t="str">
        <f t="shared" si="90"/>
        <v/>
      </c>
    </row>
    <row r="2859" spans="9:10">
      <c r="I2859" s="62" t="str">
        <f t="shared" si="89"/>
        <v/>
      </c>
      <c r="J2859" s="63" t="str">
        <f t="shared" si="90"/>
        <v/>
      </c>
    </row>
    <row r="2860" spans="9:10">
      <c r="I2860" s="62" t="str">
        <f t="shared" si="89"/>
        <v/>
      </c>
      <c r="J2860" s="63" t="str">
        <f t="shared" si="90"/>
        <v/>
      </c>
    </row>
    <row r="2861" spans="9:10">
      <c r="I2861" s="62" t="str">
        <f t="shared" si="89"/>
        <v/>
      </c>
      <c r="J2861" s="63" t="str">
        <f t="shared" si="90"/>
        <v/>
      </c>
    </row>
    <row r="2862" spans="9:10">
      <c r="I2862" s="62" t="str">
        <f t="shared" si="89"/>
        <v/>
      </c>
      <c r="J2862" s="63" t="str">
        <f t="shared" si="90"/>
        <v/>
      </c>
    </row>
    <row r="2863" spans="9:10">
      <c r="I2863" s="62" t="str">
        <f t="shared" si="89"/>
        <v/>
      </c>
      <c r="J2863" s="63" t="str">
        <f t="shared" si="90"/>
        <v/>
      </c>
    </row>
    <row r="2864" spans="9:10">
      <c r="I2864" s="62" t="str">
        <f t="shared" si="89"/>
        <v/>
      </c>
      <c r="J2864" s="63" t="str">
        <f t="shared" si="90"/>
        <v/>
      </c>
    </row>
    <row r="2865" spans="9:10">
      <c r="I2865" s="62" t="str">
        <f t="shared" si="89"/>
        <v/>
      </c>
      <c r="J2865" s="63" t="str">
        <f t="shared" si="90"/>
        <v/>
      </c>
    </row>
    <row r="2866" spans="9:10">
      <c r="I2866" s="62" t="str">
        <f t="shared" si="89"/>
        <v/>
      </c>
      <c r="J2866" s="63" t="str">
        <f t="shared" si="90"/>
        <v/>
      </c>
    </row>
    <row r="2867" spans="9:10">
      <c r="I2867" s="62" t="str">
        <f t="shared" si="89"/>
        <v/>
      </c>
      <c r="J2867" s="63" t="str">
        <f t="shared" si="90"/>
        <v/>
      </c>
    </row>
    <row r="2868" spans="9:10">
      <c r="I2868" s="62" t="str">
        <f t="shared" si="89"/>
        <v/>
      </c>
      <c r="J2868" s="63" t="str">
        <f t="shared" si="90"/>
        <v/>
      </c>
    </row>
    <row r="2869" spans="9:10">
      <c r="I2869" s="62" t="str">
        <f t="shared" si="89"/>
        <v/>
      </c>
      <c r="J2869" s="63" t="str">
        <f t="shared" si="90"/>
        <v/>
      </c>
    </row>
    <row r="2870" spans="9:10">
      <c r="I2870" s="62" t="str">
        <f t="shared" si="89"/>
        <v/>
      </c>
      <c r="J2870" s="63" t="str">
        <f t="shared" si="90"/>
        <v/>
      </c>
    </row>
    <row r="2871" spans="9:10">
      <c r="I2871" s="62" t="str">
        <f t="shared" si="89"/>
        <v/>
      </c>
      <c r="J2871" s="63" t="str">
        <f t="shared" si="90"/>
        <v/>
      </c>
    </row>
    <row r="2872" spans="9:10">
      <c r="I2872" s="62" t="str">
        <f t="shared" si="89"/>
        <v/>
      </c>
      <c r="J2872" s="63" t="str">
        <f t="shared" si="90"/>
        <v/>
      </c>
    </row>
    <row r="2873" spans="9:10">
      <c r="I2873" s="62" t="str">
        <f t="shared" si="89"/>
        <v/>
      </c>
      <c r="J2873" s="63" t="str">
        <f t="shared" si="90"/>
        <v/>
      </c>
    </row>
    <row r="2874" spans="9:10">
      <c r="I2874" s="62" t="str">
        <f t="shared" si="89"/>
        <v/>
      </c>
      <c r="J2874" s="63" t="str">
        <f t="shared" si="90"/>
        <v/>
      </c>
    </row>
    <row r="2875" spans="9:10">
      <c r="I2875" s="62" t="str">
        <f t="shared" si="89"/>
        <v/>
      </c>
      <c r="J2875" s="63" t="str">
        <f t="shared" si="90"/>
        <v/>
      </c>
    </row>
    <row r="2876" spans="9:10">
      <c r="I2876" s="62" t="str">
        <f t="shared" si="89"/>
        <v/>
      </c>
      <c r="J2876" s="63" t="str">
        <f t="shared" si="90"/>
        <v/>
      </c>
    </row>
    <row r="2877" spans="9:10">
      <c r="I2877" s="62" t="str">
        <f t="shared" si="89"/>
        <v/>
      </c>
      <c r="J2877" s="63" t="str">
        <f t="shared" si="90"/>
        <v/>
      </c>
    </row>
    <row r="2878" spans="9:10">
      <c r="I2878" s="62" t="str">
        <f t="shared" si="89"/>
        <v/>
      </c>
      <c r="J2878" s="63" t="str">
        <f t="shared" si="90"/>
        <v/>
      </c>
    </row>
    <row r="2879" spans="9:10">
      <c r="I2879" s="62" t="str">
        <f t="shared" si="89"/>
        <v/>
      </c>
      <c r="J2879" s="63" t="str">
        <f t="shared" si="90"/>
        <v/>
      </c>
    </row>
    <row r="2880" spans="9:10">
      <c r="I2880" s="62" t="str">
        <f t="shared" si="89"/>
        <v/>
      </c>
      <c r="J2880" s="63" t="str">
        <f t="shared" si="90"/>
        <v/>
      </c>
    </row>
    <row r="2881" spans="9:10">
      <c r="I2881" s="62" t="str">
        <f t="shared" si="89"/>
        <v/>
      </c>
      <c r="J2881" s="63" t="str">
        <f t="shared" si="90"/>
        <v/>
      </c>
    </row>
    <row r="2882" spans="9:10">
      <c r="I2882" s="62" t="str">
        <f t="shared" si="89"/>
        <v/>
      </c>
      <c r="J2882" s="63" t="str">
        <f t="shared" si="90"/>
        <v/>
      </c>
    </row>
    <row r="2883" spans="9:10">
      <c r="I2883" s="62" t="str">
        <f t="shared" si="89"/>
        <v/>
      </c>
      <c r="J2883" s="63" t="str">
        <f t="shared" si="90"/>
        <v/>
      </c>
    </row>
    <row r="2884" spans="9:10">
      <c r="I2884" s="62" t="str">
        <f t="shared" si="89"/>
        <v/>
      </c>
      <c r="J2884" s="63" t="str">
        <f t="shared" si="90"/>
        <v/>
      </c>
    </row>
    <row r="2885" spans="9:10">
      <c r="I2885" s="62" t="str">
        <f t="shared" si="89"/>
        <v/>
      </c>
      <c r="J2885" s="63" t="str">
        <f t="shared" si="90"/>
        <v/>
      </c>
    </row>
    <row r="2886" spans="9:10">
      <c r="I2886" s="62" t="str">
        <f t="shared" si="89"/>
        <v/>
      </c>
      <c r="J2886" s="63" t="str">
        <f t="shared" si="90"/>
        <v/>
      </c>
    </row>
    <row r="2887" spans="9:10">
      <c r="I2887" s="62" t="str">
        <f t="shared" si="89"/>
        <v/>
      </c>
      <c r="J2887" s="63" t="str">
        <f t="shared" si="90"/>
        <v/>
      </c>
    </row>
    <row r="2888" spans="9:10">
      <c r="I2888" s="62" t="str">
        <f t="shared" si="89"/>
        <v/>
      </c>
      <c r="J2888" s="63" t="str">
        <f t="shared" si="90"/>
        <v/>
      </c>
    </row>
    <row r="2889" spans="9:10">
      <c r="I2889" s="62" t="str">
        <f t="shared" si="89"/>
        <v/>
      </c>
      <c r="J2889" s="63" t="str">
        <f t="shared" si="90"/>
        <v/>
      </c>
    </row>
    <row r="2890" spans="9:10">
      <c r="I2890" s="62" t="str">
        <f t="shared" si="89"/>
        <v/>
      </c>
      <c r="J2890" s="63" t="str">
        <f t="shared" si="90"/>
        <v/>
      </c>
    </row>
    <row r="2891" spans="9:10">
      <c r="I2891" s="62" t="str">
        <f t="shared" si="89"/>
        <v/>
      </c>
      <c r="J2891" s="63" t="str">
        <f t="shared" si="90"/>
        <v/>
      </c>
    </row>
    <row r="2892" spans="9:10">
      <c r="I2892" s="62" t="str">
        <f t="shared" ref="I2892:I2955" si="91">IF(B2892="","",IF(B2892="Total",I2890,IF(B2890="Total",I2890, IF(ISNUMBER(A2892),A2892,I2891))))</f>
        <v/>
      </c>
      <c r="J2892" s="63" t="str">
        <f t="shared" si="90"/>
        <v/>
      </c>
    </row>
    <row r="2893" spans="9:10">
      <c r="I2893" s="62" t="str">
        <f t="shared" si="91"/>
        <v/>
      </c>
      <c r="J2893" s="63" t="str">
        <f t="shared" si="90"/>
        <v/>
      </c>
    </row>
    <row r="2894" spans="9:10">
      <c r="I2894" s="62" t="str">
        <f t="shared" si="91"/>
        <v/>
      </c>
      <c r="J2894" s="63" t="str">
        <f t="shared" si="90"/>
        <v/>
      </c>
    </row>
    <row r="2895" spans="9:10">
      <c r="I2895" s="62" t="str">
        <f t="shared" si="91"/>
        <v/>
      </c>
      <c r="J2895" s="63" t="str">
        <f t="shared" ref="J2895:J2958" si="92">IF(B2895="","",IF(B2895="Total",J2893,IF(B2893="Total",J2893,IF(A2895="",J2894,IF(ISNUMBER(A2894),B2894,IF(ISNUMBER(A2895),B2895,J2894))))))</f>
        <v/>
      </c>
    </row>
    <row r="2896" spans="9:10">
      <c r="I2896" s="62" t="str">
        <f t="shared" si="91"/>
        <v/>
      </c>
      <c r="J2896" s="63" t="str">
        <f t="shared" si="92"/>
        <v/>
      </c>
    </row>
    <row r="2897" spans="9:10">
      <c r="I2897" s="62" t="str">
        <f t="shared" si="91"/>
        <v/>
      </c>
      <c r="J2897" s="63" t="str">
        <f t="shared" si="92"/>
        <v/>
      </c>
    </row>
    <row r="2898" spans="9:10">
      <c r="I2898" s="62" t="str">
        <f t="shared" si="91"/>
        <v/>
      </c>
      <c r="J2898" s="63" t="str">
        <f t="shared" si="92"/>
        <v/>
      </c>
    </row>
    <row r="2899" spans="9:10">
      <c r="I2899" s="62" t="str">
        <f t="shared" si="91"/>
        <v/>
      </c>
      <c r="J2899" s="63" t="str">
        <f t="shared" si="92"/>
        <v/>
      </c>
    </row>
    <row r="2900" spans="9:10">
      <c r="I2900" s="62" t="str">
        <f t="shared" si="91"/>
        <v/>
      </c>
      <c r="J2900" s="63" t="str">
        <f t="shared" si="92"/>
        <v/>
      </c>
    </row>
    <row r="2901" spans="9:10">
      <c r="I2901" s="62" t="str">
        <f t="shared" si="91"/>
        <v/>
      </c>
      <c r="J2901" s="63" t="str">
        <f t="shared" si="92"/>
        <v/>
      </c>
    </row>
    <row r="2902" spans="9:10">
      <c r="I2902" s="62" t="str">
        <f t="shared" si="91"/>
        <v/>
      </c>
      <c r="J2902" s="63" t="str">
        <f t="shared" si="92"/>
        <v/>
      </c>
    </row>
    <row r="2903" spans="9:10">
      <c r="I2903" s="62" t="str">
        <f t="shared" si="91"/>
        <v/>
      </c>
      <c r="J2903" s="63" t="str">
        <f t="shared" si="92"/>
        <v/>
      </c>
    </row>
    <row r="2904" spans="9:10">
      <c r="I2904" s="62" t="str">
        <f t="shared" si="91"/>
        <v/>
      </c>
      <c r="J2904" s="63" t="str">
        <f t="shared" si="92"/>
        <v/>
      </c>
    </row>
    <row r="2905" spans="9:10">
      <c r="I2905" s="62" t="str">
        <f t="shared" si="91"/>
        <v/>
      </c>
      <c r="J2905" s="63" t="str">
        <f t="shared" si="92"/>
        <v/>
      </c>
    </row>
    <row r="2906" spans="9:10">
      <c r="I2906" s="62" t="str">
        <f t="shared" si="91"/>
        <v/>
      </c>
      <c r="J2906" s="63" t="str">
        <f t="shared" si="92"/>
        <v/>
      </c>
    </row>
    <row r="2907" spans="9:10">
      <c r="I2907" s="62" t="str">
        <f t="shared" si="91"/>
        <v/>
      </c>
      <c r="J2907" s="63" t="str">
        <f t="shared" si="92"/>
        <v/>
      </c>
    </row>
    <row r="2908" spans="9:10">
      <c r="I2908" s="62" t="str">
        <f t="shared" si="91"/>
        <v/>
      </c>
      <c r="J2908" s="63" t="str">
        <f t="shared" si="92"/>
        <v/>
      </c>
    </row>
    <row r="2909" spans="9:10">
      <c r="I2909" s="62" t="str">
        <f t="shared" si="91"/>
        <v/>
      </c>
      <c r="J2909" s="63" t="str">
        <f t="shared" si="92"/>
        <v/>
      </c>
    </row>
    <row r="2910" spans="9:10">
      <c r="I2910" s="62" t="str">
        <f t="shared" si="91"/>
        <v/>
      </c>
      <c r="J2910" s="63" t="str">
        <f t="shared" si="92"/>
        <v/>
      </c>
    </row>
    <row r="2911" spans="9:10">
      <c r="I2911" s="62" t="str">
        <f t="shared" si="91"/>
        <v/>
      </c>
      <c r="J2911" s="63" t="str">
        <f t="shared" si="92"/>
        <v/>
      </c>
    </row>
    <row r="2912" spans="9:10">
      <c r="I2912" s="62" t="str">
        <f t="shared" si="91"/>
        <v/>
      </c>
      <c r="J2912" s="63" t="str">
        <f t="shared" si="92"/>
        <v/>
      </c>
    </row>
    <row r="2913" spans="9:10">
      <c r="I2913" s="62" t="str">
        <f t="shared" si="91"/>
        <v/>
      </c>
      <c r="J2913" s="63" t="str">
        <f t="shared" si="92"/>
        <v/>
      </c>
    </row>
    <row r="2914" spans="9:10">
      <c r="I2914" s="62" t="str">
        <f t="shared" si="91"/>
        <v/>
      </c>
      <c r="J2914" s="63" t="str">
        <f t="shared" si="92"/>
        <v/>
      </c>
    </row>
    <row r="2915" spans="9:10">
      <c r="I2915" s="62" t="str">
        <f t="shared" si="91"/>
        <v/>
      </c>
      <c r="J2915" s="63" t="str">
        <f t="shared" si="92"/>
        <v/>
      </c>
    </row>
    <row r="2916" spans="9:10">
      <c r="I2916" s="62" t="str">
        <f t="shared" si="91"/>
        <v/>
      </c>
      <c r="J2916" s="63" t="str">
        <f t="shared" si="92"/>
        <v/>
      </c>
    </row>
    <row r="2917" spans="9:10">
      <c r="I2917" s="62" t="str">
        <f t="shared" si="91"/>
        <v/>
      </c>
      <c r="J2917" s="63" t="str">
        <f t="shared" si="92"/>
        <v/>
      </c>
    </row>
    <row r="2918" spans="9:10">
      <c r="I2918" s="62" t="str">
        <f t="shared" si="91"/>
        <v/>
      </c>
      <c r="J2918" s="63" t="str">
        <f t="shared" si="92"/>
        <v/>
      </c>
    </row>
    <row r="2919" spans="9:10">
      <c r="I2919" s="62" t="str">
        <f t="shared" si="91"/>
        <v/>
      </c>
      <c r="J2919" s="63" t="str">
        <f t="shared" si="92"/>
        <v/>
      </c>
    </row>
    <row r="2920" spans="9:10">
      <c r="I2920" s="62" t="str">
        <f t="shared" si="91"/>
        <v/>
      </c>
      <c r="J2920" s="63" t="str">
        <f t="shared" si="92"/>
        <v/>
      </c>
    </row>
    <row r="2921" spans="9:10">
      <c r="I2921" s="62" t="str">
        <f t="shared" si="91"/>
        <v/>
      </c>
      <c r="J2921" s="63" t="str">
        <f t="shared" si="92"/>
        <v/>
      </c>
    </row>
    <row r="2922" spans="9:10">
      <c r="I2922" s="62" t="str">
        <f t="shared" si="91"/>
        <v/>
      </c>
      <c r="J2922" s="63" t="str">
        <f t="shared" si="92"/>
        <v/>
      </c>
    </row>
    <row r="2923" spans="9:10">
      <c r="I2923" s="62" t="str">
        <f t="shared" si="91"/>
        <v/>
      </c>
      <c r="J2923" s="63" t="str">
        <f t="shared" si="92"/>
        <v/>
      </c>
    </row>
    <row r="2924" spans="9:10">
      <c r="I2924" s="62" t="str">
        <f t="shared" si="91"/>
        <v/>
      </c>
      <c r="J2924" s="63" t="str">
        <f t="shared" si="92"/>
        <v/>
      </c>
    </row>
    <row r="2925" spans="9:10">
      <c r="I2925" s="62" t="str">
        <f t="shared" si="91"/>
        <v/>
      </c>
      <c r="J2925" s="63" t="str">
        <f t="shared" si="92"/>
        <v/>
      </c>
    </row>
    <row r="2926" spans="9:10">
      <c r="I2926" s="62" t="str">
        <f t="shared" si="91"/>
        <v/>
      </c>
      <c r="J2926" s="63" t="str">
        <f t="shared" si="92"/>
        <v/>
      </c>
    </row>
    <row r="2927" spans="9:10">
      <c r="I2927" s="62" t="str">
        <f t="shared" si="91"/>
        <v/>
      </c>
      <c r="J2927" s="63" t="str">
        <f t="shared" si="92"/>
        <v/>
      </c>
    </row>
    <row r="2928" spans="9:10">
      <c r="I2928" s="62" t="str">
        <f t="shared" si="91"/>
        <v/>
      </c>
      <c r="J2928" s="63" t="str">
        <f t="shared" si="92"/>
        <v/>
      </c>
    </row>
    <row r="2929" spans="9:10">
      <c r="I2929" s="62" t="str">
        <f t="shared" si="91"/>
        <v/>
      </c>
      <c r="J2929" s="63" t="str">
        <f t="shared" si="92"/>
        <v/>
      </c>
    </row>
    <row r="2930" spans="9:10">
      <c r="I2930" s="62" t="str">
        <f t="shared" si="91"/>
        <v/>
      </c>
      <c r="J2930" s="63" t="str">
        <f t="shared" si="92"/>
        <v/>
      </c>
    </row>
    <row r="2931" spans="9:10">
      <c r="I2931" s="62" t="str">
        <f t="shared" si="91"/>
        <v/>
      </c>
      <c r="J2931" s="63" t="str">
        <f t="shared" si="92"/>
        <v/>
      </c>
    </row>
    <row r="2932" spans="9:10">
      <c r="I2932" s="62" t="str">
        <f t="shared" si="91"/>
        <v/>
      </c>
      <c r="J2932" s="63" t="str">
        <f t="shared" si="92"/>
        <v/>
      </c>
    </row>
    <row r="2933" spans="9:10">
      <c r="I2933" s="62" t="str">
        <f t="shared" si="91"/>
        <v/>
      </c>
      <c r="J2933" s="63" t="str">
        <f t="shared" si="92"/>
        <v/>
      </c>
    </row>
    <row r="2934" spans="9:10">
      <c r="I2934" s="62" t="str">
        <f t="shared" si="91"/>
        <v/>
      </c>
      <c r="J2934" s="63" t="str">
        <f t="shared" si="92"/>
        <v/>
      </c>
    </row>
    <row r="2935" spans="9:10">
      <c r="I2935" s="62" t="str">
        <f t="shared" si="91"/>
        <v/>
      </c>
      <c r="J2935" s="63" t="str">
        <f t="shared" si="92"/>
        <v/>
      </c>
    </row>
    <row r="2936" spans="9:10">
      <c r="I2936" s="62" t="str">
        <f t="shared" si="91"/>
        <v/>
      </c>
      <c r="J2936" s="63" t="str">
        <f t="shared" si="92"/>
        <v/>
      </c>
    </row>
    <row r="2937" spans="9:10">
      <c r="I2937" s="62" t="str">
        <f t="shared" si="91"/>
        <v/>
      </c>
      <c r="J2937" s="63" t="str">
        <f t="shared" si="92"/>
        <v/>
      </c>
    </row>
    <row r="2938" spans="9:10">
      <c r="I2938" s="62" t="str">
        <f t="shared" si="91"/>
        <v/>
      </c>
      <c r="J2938" s="63" t="str">
        <f t="shared" si="92"/>
        <v/>
      </c>
    </row>
    <row r="2939" spans="9:10">
      <c r="I2939" s="62" t="str">
        <f t="shared" si="91"/>
        <v/>
      </c>
      <c r="J2939" s="63" t="str">
        <f t="shared" si="92"/>
        <v/>
      </c>
    </row>
    <row r="2940" spans="9:10">
      <c r="I2940" s="62" t="str">
        <f t="shared" si="91"/>
        <v/>
      </c>
      <c r="J2940" s="63" t="str">
        <f t="shared" si="92"/>
        <v/>
      </c>
    </row>
    <row r="2941" spans="9:10">
      <c r="I2941" s="62" t="str">
        <f t="shared" si="91"/>
        <v/>
      </c>
      <c r="J2941" s="63" t="str">
        <f t="shared" si="92"/>
        <v/>
      </c>
    </row>
    <row r="2942" spans="9:10">
      <c r="I2942" s="62" t="str">
        <f t="shared" si="91"/>
        <v/>
      </c>
      <c r="J2942" s="63" t="str">
        <f t="shared" si="92"/>
        <v/>
      </c>
    </row>
    <row r="2943" spans="9:10">
      <c r="I2943" s="62" t="str">
        <f t="shared" si="91"/>
        <v/>
      </c>
      <c r="J2943" s="63" t="str">
        <f t="shared" si="92"/>
        <v/>
      </c>
    </row>
    <row r="2944" spans="9:10">
      <c r="I2944" s="62" t="str">
        <f t="shared" si="91"/>
        <v/>
      </c>
      <c r="J2944" s="63" t="str">
        <f t="shared" si="92"/>
        <v/>
      </c>
    </row>
    <row r="2945" spans="9:10">
      <c r="I2945" s="62" t="str">
        <f t="shared" si="91"/>
        <v/>
      </c>
      <c r="J2945" s="63" t="str">
        <f t="shared" si="92"/>
        <v/>
      </c>
    </row>
    <row r="2946" spans="9:10">
      <c r="I2946" s="62" t="str">
        <f t="shared" si="91"/>
        <v/>
      </c>
      <c r="J2946" s="63" t="str">
        <f t="shared" si="92"/>
        <v/>
      </c>
    </row>
    <row r="2947" spans="9:10">
      <c r="I2947" s="62" t="str">
        <f t="shared" si="91"/>
        <v/>
      </c>
      <c r="J2947" s="63" t="str">
        <f t="shared" si="92"/>
        <v/>
      </c>
    </row>
    <row r="2948" spans="9:10">
      <c r="I2948" s="62" t="str">
        <f t="shared" si="91"/>
        <v/>
      </c>
      <c r="J2948" s="63" t="str">
        <f t="shared" si="92"/>
        <v/>
      </c>
    </row>
    <row r="2949" spans="9:10">
      <c r="I2949" s="62" t="str">
        <f t="shared" si="91"/>
        <v/>
      </c>
      <c r="J2949" s="63" t="str">
        <f t="shared" si="92"/>
        <v/>
      </c>
    </row>
    <row r="2950" spans="9:10">
      <c r="I2950" s="62" t="str">
        <f t="shared" si="91"/>
        <v/>
      </c>
      <c r="J2950" s="63" t="str">
        <f t="shared" si="92"/>
        <v/>
      </c>
    </row>
    <row r="2951" spans="9:10">
      <c r="I2951" s="62" t="str">
        <f t="shared" si="91"/>
        <v/>
      </c>
      <c r="J2951" s="63" t="str">
        <f t="shared" si="92"/>
        <v/>
      </c>
    </row>
    <row r="2952" spans="9:10">
      <c r="I2952" s="62" t="str">
        <f t="shared" si="91"/>
        <v/>
      </c>
      <c r="J2952" s="63" t="str">
        <f t="shared" si="92"/>
        <v/>
      </c>
    </row>
    <row r="2953" spans="9:10">
      <c r="I2953" s="62" t="str">
        <f t="shared" si="91"/>
        <v/>
      </c>
      <c r="J2953" s="63" t="str">
        <f t="shared" si="92"/>
        <v/>
      </c>
    </row>
    <row r="2954" spans="9:10">
      <c r="I2954" s="62" t="str">
        <f t="shared" si="91"/>
        <v/>
      </c>
      <c r="J2954" s="63" t="str">
        <f t="shared" si="92"/>
        <v/>
      </c>
    </row>
    <row r="2955" spans="9:10">
      <c r="I2955" s="62" t="str">
        <f t="shared" si="91"/>
        <v/>
      </c>
      <c r="J2955" s="63" t="str">
        <f t="shared" si="92"/>
        <v/>
      </c>
    </row>
    <row r="2956" spans="9:10">
      <c r="I2956" s="62" t="str">
        <f t="shared" ref="I2956:I3019" si="93">IF(B2956="","",IF(B2956="Total",I2954,IF(B2954="Total",I2954, IF(ISNUMBER(A2956),A2956,I2955))))</f>
        <v/>
      </c>
      <c r="J2956" s="63" t="str">
        <f t="shared" si="92"/>
        <v/>
      </c>
    </row>
    <row r="2957" spans="9:10">
      <c r="I2957" s="62" t="str">
        <f t="shared" si="93"/>
        <v/>
      </c>
      <c r="J2957" s="63" t="str">
        <f t="shared" si="92"/>
        <v/>
      </c>
    </row>
    <row r="2958" spans="9:10">
      <c r="I2958" s="62" t="str">
        <f t="shared" si="93"/>
        <v/>
      </c>
      <c r="J2958" s="63" t="str">
        <f t="shared" si="92"/>
        <v/>
      </c>
    </row>
    <row r="2959" spans="9:10">
      <c r="I2959" s="62" t="str">
        <f t="shared" si="93"/>
        <v/>
      </c>
      <c r="J2959" s="63" t="str">
        <f t="shared" ref="J2959:J3022" si="94">IF(B2959="","",IF(B2959="Total",J2957,IF(B2957="Total",J2957,IF(A2959="",J2958,IF(ISNUMBER(A2958),B2958,IF(ISNUMBER(A2959),B2959,J2958))))))</f>
        <v/>
      </c>
    </row>
    <row r="2960" spans="9:10">
      <c r="I2960" s="62" t="str">
        <f t="shared" si="93"/>
        <v/>
      </c>
      <c r="J2960" s="63" t="str">
        <f t="shared" si="94"/>
        <v/>
      </c>
    </row>
    <row r="2961" spans="9:10">
      <c r="I2961" s="62" t="str">
        <f t="shared" si="93"/>
        <v/>
      </c>
      <c r="J2961" s="63" t="str">
        <f t="shared" si="94"/>
        <v/>
      </c>
    </row>
    <row r="2962" spans="9:10">
      <c r="I2962" s="62" t="str">
        <f t="shared" si="93"/>
        <v/>
      </c>
      <c r="J2962" s="63" t="str">
        <f t="shared" si="94"/>
        <v/>
      </c>
    </row>
    <row r="2963" spans="9:10">
      <c r="I2963" s="62" t="str">
        <f t="shared" si="93"/>
        <v/>
      </c>
      <c r="J2963" s="63" t="str">
        <f t="shared" si="94"/>
        <v/>
      </c>
    </row>
    <row r="2964" spans="9:10">
      <c r="I2964" s="62" t="str">
        <f t="shared" si="93"/>
        <v/>
      </c>
      <c r="J2964" s="63" t="str">
        <f t="shared" si="94"/>
        <v/>
      </c>
    </row>
    <row r="2965" spans="9:10">
      <c r="I2965" s="62" t="str">
        <f t="shared" si="93"/>
        <v/>
      </c>
      <c r="J2965" s="63" t="str">
        <f t="shared" si="94"/>
        <v/>
      </c>
    </row>
    <row r="2966" spans="9:10">
      <c r="I2966" s="62" t="str">
        <f t="shared" si="93"/>
        <v/>
      </c>
      <c r="J2966" s="63" t="str">
        <f t="shared" si="94"/>
        <v/>
      </c>
    </row>
    <row r="2967" spans="9:10">
      <c r="I2967" s="62" t="str">
        <f t="shared" si="93"/>
        <v/>
      </c>
      <c r="J2967" s="63" t="str">
        <f t="shared" si="94"/>
        <v/>
      </c>
    </row>
    <row r="2968" spans="9:10">
      <c r="I2968" s="62" t="str">
        <f t="shared" si="93"/>
        <v/>
      </c>
      <c r="J2968" s="63" t="str">
        <f t="shared" si="94"/>
        <v/>
      </c>
    </row>
    <row r="2969" spans="9:10">
      <c r="I2969" s="62" t="str">
        <f t="shared" si="93"/>
        <v/>
      </c>
      <c r="J2969" s="63" t="str">
        <f t="shared" si="94"/>
        <v/>
      </c>
    </row>
    <row r="2970" spans="9:10">
      <c r="I2970" s="62" t="str">
        <f t="shared" si="93"/>
        <v/>
      </c>
      <c r="J2970" s="63" t="str">
        <f t="shared" si="94"/>
        <v/>
      </c>
    </row>
    <row r="2971" spans="9:10">
      <c r="I2971" s="62" t="str">
        <f t="shared" si="93"/>
        <v/>
      </c>
      <c r="J2971" s="63" t="str">
        <f t="shared" si="94"/>
        <v/>
      </c>
    </row>
    <row r="2972" spans="9:10">
      <c r="I2972" s="62" t="str">
        <f t="shared" si="93"/>
        <v/>
      </c>
      <c r="J2972" s="63" t="str">
        <f t="shared" si="94"/>
        <v/>
      </c>
    </row>
    <row r="2973" spans="9:10">
      <c r="I2973" s="62" t="str">
        <f t="shared" si="93"/>
        <v/>
      </c>
      <c r="J2973" s="63" t="str">
        <f t="shared" si="94"/>
        <v/>
      </c>
    </row>
    <row r="2974" spans="9:10">
      <c r="I2974" s="62" t="str">
        <f t="shared" si="93"/>
        <v/>
      </c>
      <c r="J2974" s="63" t="str">
        <f t="shared" si="94"/>
        <v/>
      </c>
    </row>
    <row r="2975" spans="9:10">
      <c r="I2975" s="62" t="str">
        <f t="shared" si="93"/>
        <v/>
      </c>
      <c r="J2975" s="63" t="str">
        <f t="shared" si="94"/>
        <v/>
      </c>
    </row>
    <row r="2976" spans="9:10">
      <c r="I2976" s="62" t="str">
        <f t="shared" si="93"/>
        <v/>
      </c>
      <c r="J2976" s="63" t="str">
        <f t="shared" si="94"/>
        <v/>
      </c>
    </row>
    <row r="2977" spans="9:10">
      <c r="I2977" s="62" t="str">
        <f t="shared" si="93"/>
        <v/>
      </c>
      <c r="J2977" s="63" t="str">
        <f t="shared" si="94"/>
        <v/>
      </c>
    </row>
    <row r="2978" spans="9:10">
      <c r="I2978" s="62" t="str">
        <f t="shared" si="93"/>
        <v/>
      </c>
      <c r="J2978" s="63" t="str">
        <f t="shared" si="94"/>
        <v/>
      </c>
    </row>
    <row r="2979" spans="9:10">
      <c r="I2979" s="62" t="str">
        <f t="shared" si="93"/>
        <v/>
      </c>
      <c r="J2979" s="63" t="str">
        <f t="shared" si="94"/>
        <v/>
      </c>
    </row>
    <row r="2980" spans="9:10">
      <c r="I2980" s="62" t="str">
        <f t="shared" si="93"/>
        <v/>
      </c>
      <c r="J2980" s="63" t="str">
        <f t="shared" si="94"/>
        <v/>
      </c>
    </row>
    <row r="2981" spans="9:10">
      <c r="I2981" s="62" t="str">
        <f t="shared" si="93"/>
        <v/>
      </c>
      <c r="J2981" s="63" t="str">
        <f t="shared" si="94"/>
        <v/>
      </c>
    </row>
    <row r="2982" spans="9:10">
      <c r="I2982" s="62" t="str">
        <f t="shared" si="93"/>
        <v/>
      </c>
      <c r="J2982" s="63" t="str">
        <f t="shared" si="94"/>
        <v/>
      </c>
    </row>
    <row r="2983" spans="9:10">
      <c r="I2983" s="62" t="str">
        <f t="shared" si="93"/>
        <v/>
      </c>
      <c r="J2983" s="63" t="str">
        <f t="shared" si="94"/>
        <v/>
      </c>
    </row>
    <row r="2984" spans="9:10">
      <c r="I2984" s="62" t="str">
        <f t="shared" si="93"/>
        <v/>
      </c>
      <c r="J2984" s="63" t="str">
        <f t="shared" si="94"/>
        <v/>
      </c>
    </row>
    <row r="2985" spans="9:10">
      <c r="I2985" s="62" t="str">
        <f t="shared" si="93"/>
        <v/>
      </c>
      <c r="J2985" s="63" t="str">
        <f t="shared" si="94"/>
        <v/>
      </c>
    </row>
    <row r="2986" spans="9:10">
      <c r="I2986" s="62" t="str">
        <f t="shared" si="93"/>
        <v/>
      </c>
      <c r="J2986" s="63" t="str">
        <f t="shared" si="94"/>
        <v/>
      </c>
    </row>
    <row r="2987" spans="9:10">
      <c r="I2987" s="62" t="str">
        <f t="shared" si="93"/>
        <v/>
      </c>
      <c r="J2987" s="63" t="str">
        <f t="shared" si="94"/>
        <v/>
      </c>
    </row>
    <row r="2988" spans="9:10">
      <c r="I2988" s="62" t="str">
        <f t="shared" si="93"/>
        <v/>
      </c>
      <c r="J2988" s="63" t="str">
        <f t="shared" si="94"/>
        <v/>
      </c>
    </row>
    <row r="2989" spans="9:10">
      <c r="I2989" s="62" t="str">
        <f t="shared" si="93"/>
        <v/>
      </c>
      <c r="J2989" s="63" t="str">
        <f t="shared" si="94"/>
        <v/>
      </c>
    </row>
    <row r="2990" spans="9:10">
      <c r="I2990" s="62" t="str">
        <f t="shared" si="93"/>
        <v/>
      </c>
      <c r="J2990" s="63" t="str">
        <f t="shared" si="94"/>
        <v/>
      </c>
    </row>
    <row r="2991" spans="9:10">
      <c r="I2991" s="62" t="str">
        <f t="shared" si="93"/>
        <v/>
      </c>
      <c r="J2991" s="63" t="str">
        <f t="shared" si="94"/>
        <v/>
      </c>
    </row>
    <row r="2992" spans="9:10">
      <c r="I2992" s="62" t="str">
        <f t="shared" si="93"/>
        <v/>
      </c>
      <c r="J2992" s="63" t="str">
        <f t="shared" si="94"/>
        <v/>
      </c>
    </row>
    <row r="2993" spans="9:10">
      <c r="I2993" s="62" t="str">
        <f t="shared" si="93"/>
        <v/>
      </c>
      <c r="J2993" s="63" t="str">
        <f t="shared" si="94"/>
        <v/>
      </c>
    </row>
    <row r="2994" spans="9:10">
      <c r="I2994" s="62" t="str">
        <f t="shared" si="93"/>
        <v/>
      </c>
      <c r="J2994" s="63" t="str">
        <f t="shared" si="94"/>
        <v/>
      </c>
    </row>
    <row r="2995" spans="9:10">
      <c r="I2995" s="62" t="str">
        <f t="shared" si="93"/>
        <v/>
      </c>
      <c r="J2995" s="63" t="str">
        <f t="shared" si="94"/>
        <v/>
      </c>
    </row>
    <row r="2996" spans="9:10">
      <c r="I2996" s="62" t="str">
        <f t="shared" si="93"/>
        <v/>
      </c>
      <c r="J2996" s="63" t="str">
        <f t="shared" si="94"/>
        <v/>
      </c>
    </row>
    <row r="2997" spans="9:10">
      <c r="I2997" s="62" t="str">
        <f t="shared" si="93"/>
        <v/>
      </c>
      <c r="J2997" s="63" t="str">
        <f t="shared" si="94"/>
        <v/>
      </c>
    </row>
    <row r="2998" spans="9:10">
      <c r="I2998" s="62" t="str">
        <f t="shared" si="93"/>
        <v/>
      </c>
      <c r="J2998" s="63" t="str">
        <f t="shared" si="94"/>
        <v/>
      </c>
    </row>
    <row r="2999" spans="9:10">
      <c r="I2999" s="62" t="str">
        <f t="shared" si="93"/>
        <v/>
      </c>
      <c r="J2999" s="63" t="str">
        <f t="shared" si="94"/>
        <v/>
      </c>
    </row>
    <row r="3000" spans="9:10">
      <c r="I3000" s="62" t="str">
        <f t="shared" si="93"/>
        <v/>
      </c>
      <c r="J3000" s="63" t="str">
        <f t="shared" si="94"/>
        <v/>
      </c>
    </row>
    <row r="3001" spans="9:10">
      <c r="I3001" s="62" t="str">
        <f t="shared" si="93"/>
        <v/>
      </c>
      <c r="J3001" s="63" t="str">
        <f t="shared" si="94"/>
        <v/>
      </c>
    </row>
    <row r="3002" spans="9:10">
      <c r="I3002" s="62" t="str">
        <f t="shared" si="93"/>
        <v/>
      </c>
      <c r="J3002" s="63" t="str">
        <f t="shared" si="94"/>
        <v/>
      </c>
    </row>
    <row r="3003" spans="9:10">
      <c r="I3003" s="62" t="str">
        <f t="shared" si="93"/>
        <v/>
      </c>
      <c r="J3003" s="63" t="str">
        <f t="shared" si="94"/>
        <v/>
      </c>
    </row>
    <row r="3004" spans="9:10">
      <c r="I3004" s="62" t="str">
        <f t="shared" si="93"/>
        <v/>
      </c>
      <c r="J3004" s="63" t="str">
        <f t="shared" si="94"/>
        <v/>
      </c>
    </row>
    <row r="3005" spans="9:10">
      <c r="I3005" s="62" t="str">
        <f t="shared" si="93"/>
        <v/>
      </c>
      <c r="J3005" s="63" t="str">
        <f t="shared" si="94"/>
        <v/>
      </c>
    </row>
    <row r="3006" spans="9:10">
      <c r="I3006" s="62" t="str">
        <f t="shared" si="93"/>
        <v/>
      </c>
      <c r="J3006" s="63" t="str">
        <f t="shared" si="94"/>
        <v/>
      </c>
    </row>
    <row r="3007" spans="9:10">
      <c r="I3007" s="62" t="str">
        <f t="shared" si="93"/>
        <v/>
      </c>
      <c r="J3007" s="63" t="str">
        <f t="shared" si="94"/>
        <v/>
      </c>
    </row>
    <row r="3008" spans="9:10">
      <c r="I3008" s="62" t="str">
        <f t="shared" si="93"/>
        <v/>
      </c>
      <c r="J3008" s="63" t="str">
        <f t="shared" si="94"/>
        <v/>
      </c>
    </row>
    <row r="3009" spans="9:10">
      <c r="I3009" s="62" t="str">
        <f t="shared" si="93"/>
        <v/>
      </c>
      <c r="J3009" s="63" t="str">
        <f t="shared" si="94"/>
        <v/>
      </c>
    </row>
    <row r="3010" spans="9:10">
      <c r="I3010" s="62" t="str">
        <f t="shared" si="93"/>
        <v/>
      </c>
      <c r="J3010" s="63" t="str">
        <f t="shared" si="94"/>
        <v/>
      </c>
    </row>
    <row r="3011" spans="9:10">
      <c r="I3011" s="62" t="str">
        <f t="shared" si="93"/>
        <v/>
      </c>
      <c r="J3011" s="63" t="str">
        <f t="shared" si="94"/>
        <v/>
      </c>
    </row>
    <row r="3012" spans="9:10">
      <c r="I3012" s="62" t="str">
        <f t="shared" si="93"/>
        <v/>
      </c>
      <c r="J3012" s="63" t="str">
        <f t="shared" si="94"/>
        <v/>
      </c>
    </row>
    <row r="3013" spans="9:10">
      <c r="I3013" s="62" t="str">
        <f t="shared" si="93"/>
        <v/>
      </c>
      <c r="J3013" s="63" t="str">
        <f t="shared" si="94"/>
        <v/>
      </c>
    </row>
    <row r="3014" spans="9:10">
      <c r="I3014" s="62" t="str">
        <f t="shared" si="93"/>
        <v/>
      </c>
      <c r="J3014" s="63" t="str">
        <f t="shared" si="94"/>
        <v/>
      </c>
    </row>
    <row r="3015" spans="9:10">
      <c r="I3015" s="62" t="str">
        <f t="shared" si="93"/>
        <v/>
      </c>
      <c r="J3015" s="63" t="str">
        <f t="shared" si="94"/>
        <v/>
      </c>
    </row>
    <row r="3016" spans="9:10">
      <c r="I3016" s="62" t="str">
        <f t="shared" si="93"/>
        <v/>
      </c>
      <c r="J3016" s="63" t="str">
        <f t="shared" si="94"/>
        <v/>
      </c>
    </row>
    <row r="3017" spans="9:10">
      <c r="I3017" s="62" t="str">
        <f t="shared" si="93"/>
        <v/>
      </c>
      <c r="J3017" s="63" t="str">
        <f t="shared" si="94"/>
        <v/>
      </c>
    </row>
    <row r="3018" spans="9:10">
      <c r="I3018" s="62" t="str">
        <f t="shared" si="93"/>
        <v/>
      </c>
      <c r="J3018" s="63" t="str">
        <f t="shared" si="94"/>
        <v/>
      </c>
    </row>
    <row r="3019" spans="9:10">
      <c r="I3019" s="62" t="str">
        <f t="shared" si="93"/>
        <v/>
      </c>
      <c r="J3019" s="63" t="str">
        <f t="shared" si="94"/>
        <v/>
      </c>
    </row>
    <row r="3020" spans="9:10">
      <c r="I3020" s="62" t="str">
        <f t="shared" ref="I3020:I3083" si="95">IF(B3020="","",IF(B3020="Total",I3018,IF(B3018="Total",I3018, IF(ISNUMBER(A3020),A3020,I3019))))</f>
        <v/>
      </c>
      <c r="J3020" s="63" t="str">
        <f t="shared" si="94"/>
        <v/>
      </c>
    </row>
    <row r="3021" spans="9:10">
      <c r="I3021" s="62" t="str">
        <f t="shared" si="95"/>
        <v/>
      </c>
      <c r="J3021" s="63" t="str">
        <f t="shared" si="94"/>
        <v/>
      </c>
    </row>
    <row r="3022" spans="9:10">
      <c r="I3022" s="62" t="str">
        <f t="shared" si="95"/>
        <v/>
      </c>
      <c r="J3022" s="63" t="str">
        <f t="shared" si="94"/>
        <v/>
      </c>
    </row>
    <row r="3023" spans="9:10">
      <c r="I3023" s="62" t="str">
        <f t="shared" si="95"/>
        <v/>
      </c>
      <c r="J3023" s="63" t="str">
        <f t="shared" ref="J3023:J3086" si="96">IF(B3023="","",IF(B3023="Total",J3021,IF(B3021="Total",J3021,IF(A3023="",J3022,IF(ISNUMBER(A3022),B3022,IF(ISNUMBER(A3023),B3023,J3022))))))</f>
        <v/>
      </c>
    </row>
    <row r="3024" spans="9:10">
      <c r="I3024" s="62" t="str">
        <f t="shared" si="95"/>
        <v/>
      </c>
      <c r="J3024" s="63" t="str">
        <f t="shared" si="96"/>
        <v/>
      </c>
    </row>
    <row r="3025" spans="9:10">
      <c r="I3025" s="62" t="str">
        <f t="shared" si="95"/>
        <v/>
      </c>
      <c r="J3025" s="63" t="str">
        <f t="shared" si="96"/>
        <v/>
      </c>
    </row>
    <row r="3026" spans="9:10">
      <c r="I3026" s="62" t="str">
        <f t="shared" si="95"/>
        <v/>
      </c>
      <c r="J3026" s="63" t="str">
        <f t="shared" si="96"/>
        <v/>
      </c>
    </row>
    <row r="3027" spans="9:10">
      <c r="I3027" s="62" t="str">
        <f t="shared" si="95"/>
        <v/>
      </c>
      <c r="J3027" s="63" t="str">
        <f t="shared" si="96"/>
        <v/>
      </c>
    </row>
    <row r="3028" spans="9:10">
      <c r="I3028" s="62" t="str">
        <f t="shared" si="95"/>
        <v/>
      </c>
      <c r="J3028" s="63" t="str">
        <f t="shared" si="96"/>
        <v/>
      </c>
    </row>
    <row r="3029" spans="9:10">
      <c r="I3029" s="62" t="str">
        <f t="shared" si="95"/>
        <v/>
      </c>
      <c r="J3029" s="63" t="str">
        <f t="shared" si="96"/>
        <v/>
      </c>
    </row>
    <row r="3030" spans="9:10">
      <c r="I3030" s="62" t="str">
        <f t="shared" si="95"/>
        <v/>
      </c>
      <c r="J3030" s="63" t="str">
        <f t="shared" si="96"/>
        <v/>
      </c>
    </row>
    <row r="3031" spans="9:10">
      <c r="I3031" s="62" t="str">
        <f t="shared" si="95"/>
        <v/>
      </c>
      <c r="J3031" s="63" t="str">
        <f t="shared" si="96"/>
        <v/>
      </c>
    </row>
    <row r="3032" spans="9:10">
      <c r="I3032" s="62" t="str">
        <f t="shared" si="95"/>
        <v/>
      </c>
      <c r="J3032" s="63" t="str">
        <f t="shared" si="96"/>
        <v/>
      </c>
    </row>
    <row r="3033" spans="9:10">
      <c r="I3033" s="62" t="str">
        <f t="shared" si="95"/>
        <v/>
      </c>
      <c r="J3033" s="63" t="str">
        <f t="shared" si="96"/>
        <v/>
      </c>
    </row>
    <row r="3034" spans="9:10">
      <c r="I3034" s="62" t="str">
        <f t="shared" si="95"/>
        <v/>
      </c>
      <c r="J3034" s="63" t="str">
        <f t="shared" si="96"/>
        <v/>
      </c>
    </row>
    <row r="3035" spans="9:10">
      <c r="I3035" s="62" t="str">
        <f t="shared" si="95"/>
        <v/>
      </c>
      <c r="J3035" s="63" t="str">
        <f t="shared" si="96"/>
        <v/>
      </c>
    </row>
    <row r="3036" spans="9:10">
      <c r="I3036" s="62" t="str">
        <f t="shared" si="95"/>
        <v/>
      </c>
      <c r="J3036" s="63" t="str">
        <f t="shared" si="96"/>
        <v/>
      </c>
    </row>
    <row r="3037" spans="9:10">
      <c r="I3037" s="62" t="str">
        <f t="shared" si="95"/>
        <v/>
      </c>
      <c r="J3037" s="63" t="str">
        <f t="shared" si="96"/>
        <v/>
      </c>
    </row>
    <row r="3038" spans="9:10">
      <c r="I3038" s="62" t="str">
        <f t="shared" si="95"/>
        <v/>
      </c>
      <c r="J3038" s="63" t="str">
        <f t="shared" si="96"/>
        <v/>
      </c>
    </row>
    <row r="3039" spans="9:10">
      <c r="I3039" s="62" t="str">
        <f t="shared" si="95"/>
        <v/>
      </c>
      <c r="J3039" s="63" t="str">
        <f t="shared" si="96"/>
        <v/>
      </c>
    </row>
    <row r="3040" spans="9:10">
      <c r="I3040" s="62" t="str">
        <f t="shared" si="95"/>
        <v/>
      </c>
      <c r="J3040" s="63" t="str">
        <f t="shared" si="96"/>
        <v/>
      </c>
    </row>
    <row r="3041" spans="9:10">
      <c r="I3041" s="62" t="str">
        <f t="shared" si="95"/>
        <v/>
      </c>
      <c r="J3041" s="63" t="str">
        <f t="shared" si="96"/>
        <v/>
      </c>
    </row>
    <row r="3042" spans="9:10">
      <c r="I3042" s="62" t="str">
        <f t="shared" si="95"/>
        <v/>
      </c>
      <c r="J3042" s="63" t="str">
        <f t="shared" si="96"/>
        <v/>
      </c>
    </row>
    <row r="3043" spans="9:10">
      <c r="I3043" s="62" t="str">
        <f t="shared" si="95"/>
        <v/>
      </c>
      <c r="J3043" s="63" t="str">
        <f t="shared" si="96"/>
        <v/>
      </c>
    </row>
    <row r="3044" spans="9:10">
      <c r="I3044" s="62" t="str">
        <f t="shared" si="95"/>
        <v/>
      </c>
      <c r="J3044" s="63" t="str">
        <f t="shared" si="96"/>
        <v/>
      </c>
    </row>
    <row r="3045" spans="9:10">
      <c r="I3045" s="62" t="str">
        <f t="shared" si="95"/>
        <v/>
      </c>
      <c r="J3045" s="63" t="str">
        <f t="shared" si="96"/>
        <v/>
      </c>
    </row>
    <row r="3046" spans="9:10">
      <c r="I3046" s="62" t="str">
        <f t="shared" si="95"/>
        <v/>
      </c>
      <c r="J3046" s="63" t="str">
        <f t="shared" si="96"/>
        <v/>
      </c>
    </row>
    <row r="3047" spans="9:10">
      <c r="I3047" s="62" t="str">
        <f t="shared" si="95"/>
        <v/>
      </c>
      <c r="J3047" s="63" t="str">
        <f t="shared" si="96"/>
        <v/>
      </c>
    </row>
    <row r="3048" spans="9:10">
      <c r="I3048" s="62" t="str">
        <f t="shared" si="95"/>
        <v/>
      </c>
      <c r="J3048" s="63" t="str">
        <f t="shared" si="96"/>
        <v/>
      </c>
    </row>
    <row r="3049" spans="9:10">
      <c r="I3049" s="62" t="str">
        <f t="shared" si="95"/>
        <v/>
      </c>
      <c r="J3049" s="63" t="str">
        <f t="shared" si="96"/>
        <v/>
      </c>
    </row>
    <row r="3050" spans="9:10">
      <c r="I3050" s="62" t="str">
        <f t="shared" si="95"/>
        <v/>
      </c>
      <c r="J3050" s="63" t="str">
        <f t="shared" si="96"/>
        <v/>
      </c>
    </row>
    <row r="3051" spans="9:10">
      <c r="I3051" s="62" t="str">
        <f t="shared" si="95"/>
        <v/>
      </c>
      <c r="J3051" s="63" t="str">
        <f t="shared" si="96"/>
        <v/>
      </c>
    </row>
    <row r="3052" spans="9:10">
      <c r="I3052" s="62" t="str">
        <f t="shared" si="95"/>
        <v/>
      </c>
      <c r="J3052" s="63" t="str">
        <f t="shared" si="96"/>
        <v/>
      </c>
    </row>
    <row r="3053" spans="9:10">
      <c r="I3053" s="62" t="str">
        <f t="shared" si="95"/>
        <v/>
      </c>
      <c r="J3053" s="63" t="str">
        <f t="shared" si="96"/>
        <v/>
      </c>
    </row>
    <row r="3054" spans="9:10">
      <c r="I3054" s="62" t="str">
        <f t="shared" si="95"/>
        <v/>
      </c>
      <c r="J3054" s="63" t="str">
        <f t="shared" si="96"/>
        <v/>
      </c>
    </row>
    <row r="3055" spans="9:10">
      <c r="I3055" s="62" t="str">
        <f t="shared" si="95"/>
        <v/>
      </c>
      <c r="J3055" s="63" t="str">
        <f t="shared" si="96"/>
        <v/>
      </c>
    </row>
    <row r="3056" spans="9:10">
      <c r="I3056" s="62" t="str">
        <f t="shared" si="95"/>
        <v/>
      </c>
      <c r="J3056" s="63" t="str">
        <f t="shared" si="96"/>
        <v/>
      </c>
    </row>
    <row r="3057" spans="9:10">
      <c r="I3057" s="62" t="str">
        <f t="shared" si="95"/>
        <v/>
      </c>
      <c r="J3057" s="63" t="str">
        <f t="shared" si="96"/>
        <v/>
      </c>
    </row>
    <row r="3058" spans="9:10">
      <c r="I3058" s="62" t="str">
        <f t="shared" si="95"/>
        <v/>
      </c>
      <c r="J3058" s="63" t="str">
        <f t="shared" si="96"/>
        <v/>
      </c>
    </row>
    <row r="3059" spans="9:10">
      <c r="I3059" s="62" t="str">
        <f t="shared" si="95"/>
        <v/>
      </c>
      <c r="J3059" s="63" t="str">
        <f t="shared" si="96"/>
        <v/>
      </c>
    </row>
    <row r="3060" spans="9:10">
      <c r="I3060" s="62" t="str">
        <f t="shared" si="95"/>
        <v/>
      </c>
      <c r="J3060" s="63" t="str">
        <f t="shared" si="96"/>
        <v/>
      </c>
    </row>
    <row r="3061" spans="9:10">
      <c r="I3061" s="62" t="str">
        <f t="shared" si="95"/>
        <v/>
      </c>
      <c r="J3061" s="63" t="str">
        <f t="shared" si="96"/>
        <v/>
      </c>
    </row>
    <row r="3062" spans="9:10">
      <c r="I3062" s="62" t="str">
        <f t="shared" si="95"/>
        <v/>
      </c>
      <c r="J3062" s="63" t="str">
        <f t="shared" si="96"/>
        <v/>
      </c>
    </row>
    <row r="3063" spans="9:10">
      <c r="I3063" s="62" t="str">
        <f t="shared" si="95"/>
        <v/>
      </c>
      <c r="J3063" s="63" t="str">
        <f t="shared" si="96"/>
        <v/>
      </c>
    </row>
    <row r="3064" spans="9:10">
      <c r="I3064" s="62" t="str">
        <f t="shared" si="95"/>
        <v/>
      </c>
      <c r="J3064" s="63" t="str">
        <f t="shared" si="96"/>
        <v/>
      </c>
    </row>
    <row r="3065" spans="9:10">
      <c r="I3065" s="62" t="str">
        <f t="shared" si="95"/>
        <v/>
      </c>
      <c r="J3065" s="63" t="str">
        <f t="shared" si="96"/>
        <v/>
      </c>
    </row>
    <row r="3066" spans="9:10">
      <c r="I3066" s="62" t="str">
        <f t="shared" si="95"/>
        <v/>
      </c>
      <c r="J3066" s="63" t="str">
        <f t="shared" si="96"/>
        <v/>
      </c>
    </row>
    <row r="3067" spans="9:10">
      <c r="I3067" s="62" t="str">
        <f t="shared" si="95"/>
        <v/>
      </c>
      <c r="J3067" s="63" t="str">
        <f t="shared" si="96"/>
        <v/>
      </c>
    </row>
    <row r="3068" spans="9:10">
      <c r="I3068" s="62" t="str">
        <f t="shared" si="95"/>
        <v/>
      </c>
      <c r="J3068" s="63" t="str">
        <f t="shared" si="96"/>
        <v/>
      </c>
    </row>
    <row r="3069" spans="9:10">
      <c r="I3069" s="62" t="str">
        <f t="shared" si="95"/>
        <v/>
      </c>
      <c r="J3069" s="63" t="str">
        <f t="shared" si="96"/>
        <v/>
      </c>
    </row>
    <row r="3070" spans="9:10">
      <c r="I3070" s="62" t="str">
        <f t="shared" si="95"/>
        <v/>
      </c>
      <c r="J3070" s="63" t="str">
        <f t="shared" si="96"/>
        <v/>
      </c>
    </row>
    <row r="3071" spans="9:10">
      <c r="I3071" s="62" t="str">
        <f t="shared" si="95"/>
        <v/>
      </c>
      <c r="J3071" s="63" t="str">
        <f t="shared" si="96"/>
        <v/>
      </c>
    </row>
    <row r="3072" spans="9:10">
      <c r="I3072" s="62" t="str">
        <f t="shared" si="95"/>
        <v/>
      </c>
      <c r="J3072" s="63" t="str">
        <f t="shared" si="96"/>
        <v/>
      </c>
    </row>
    <row r="3073" spans="9:10">
      <c r="I3073" s="62" t="str">
        <f t="shared" si="95"/>
        <v/>
      </c>
      <c r="J3073" s="63" t="str">
        <f t="shared" si="96"/>
        <v/>
      </c>
    </row>
    <row r="3074" spans="9:10">
      <c r="I3074" s="62" t="str">
        <f t="shared" si="95"/>
        <v/>
      </c>
      <c r="J3074" s="63" t="str">
        <f t="shared" si="96"/>
        <v/>
      </c>
    </row>
    <row r="3075" spans="9:10">
      <c r="I3075" s="62" t="str">
        <f t="shared" si="95"/>
        <v/>
      </c>
      <c r="J3075" s="63" t="str">
        <f t="shared" si="96"/>
        <v/>
      </c>
    </row>
    <row r="3076" spans="9:10">
      <c r="I3076" s="62" t="str">
        <f t="shared" si="95"/>
        <v/>
      </c>
      <c r="J3076" s="63" t="str">
        <f t="shared" si="96"/>
        <v/>
      </c>
    </row>
    <row r="3077" spans="9:10">
      <c r="I3077" s="62" t="str">
        <f t="shared" si="95"/>
        <v/>
      </c>
      <c r="J3077" s="63" t="str">
        <f t="shared" si="96"/>
        <v/>
      </c>
    </row>
    <row r="3078" spans="9:10">
      <c r="I3078" s="62" t="str">
        <f t="shared" si="95"/>
        <v/>
      </c>
      <c r="J3078" s="63" t="str">
        <f t="shared" si="96"/>
        <v/>
      </c>
    </row>
    <row r="3079" spans="9:10">
      <c r="I3079" s="62" t="str">
        <f t="shared" si="95"/>
        <v/>
      </c>
      <c r="J3079" s="63" t="str">
        <f t="shared" si="96"/>
        <v/>
      </c>
    </row>
    <row r="3080" spans="9:10">
      <c r="I3080" s="62" t="str">
        <f t="shared" si="95"/>
        <v/>
      </c>
      <c r="J3080" s="63" t="str">
        <f t="shared" si="96"/>
        <v/>
      </c>
    </row>
    <row r="3081" spans="9:10">
      <c r="I3081" s="62" t="str">
        <f t="shared" si="95"/>
        <v/>
      </c>
      <c r="J3081" s="63" t="str">
        <f t="shared" si="96"/>
        <v/>
      </c>
    </row>
    <row r="3082" spans="9:10">
      <c r="I3082" s="62" t="str">
        <f t="shared" si="95"/>
        <v/>
      </c>
      <c r="J3082" s="63" t="str">
        <f t="shared" si="96"/>
        <v/>
      </c>
    </row>
    <row r="3083" spans="9:10">
      <c r="I3083" s="62" t="str">
        <f t="shared" si="95"/>
        <v/>
      </c>
      <c r="J3083" s="63" t="str">
        <f t="shared" si="96"/>
        <v/>
      </c>
    </row>
    <row r="3084" spans="9:10">
      <c r="I3084" s="62" t="str">
        <f t="shared" ref="I3084:I3147" si="97">IF(B3084="","",IF(B3084="Total",I3082,IF(B3082="Total",I3082, IF(ISNUMBER(A3084),A3084,I3083))))</f>
        <v/>
      </c>
      <c r="J3084" s="63" t="str">
        <f t="shared" si="96"/>
        <v/>
      </c>
    </row>
    <row r="3085" spans="9:10">
      <c r="I3085" s="62" t="str">
        <f t="shared" si="97"/>
        <v/>
      </c>
      <c r="J3085" s="63" t="str">
        <f t="shared" si="96"/>
        <v/>
      </c>
    </row>
    <row r="3086" spans="9:10">
      <c r="I3086" s="62" t="str">
        <f t="shared" si="97"/>
        <v/>
      </c>
      <c r="J3086" s="63" t="str">
        <f t="shared" si="96"/>
        <v/>
      </c>
    </row>
    <row r="3087" spans="9:10">
      <c r="I3087" s="62" t="str">
        <f t="shared" si="97"/>
        <v/>
      </c>
      <c r="J3087" s="63" t="str">
        <f t="shared" ref="J3087:J3150" si="98">IF(B3087="","",IF(B3087="Total",J3085,IF(B3085="Total",J3085,IF(A3087="",J3086,IF(ISNUMBER(A3086),B3086,IF(ISNUMBER(A3087),B3087,J3086))))))</f>
        <v/>
      </c>
    </row>
    <row r="3088" spans="9:10">
      <c r="I3088" s="62" t="str">
        <f t="shared" si="97"/>
        <v/>
      </c>
      <c r="J3088" s="63" t="str">
        <f t="shared" si="98"/>
        <v/>
      </c>
    </row>
    <row r="3089" spans="9:10">
      <c r="I3089" s="62" t="str">
        <f t="shared" si="97"/>
        <v/>
      </c>
      <c r="J3089" s="63" t="str">
        <f t="shared" si="98"/>
        <v/>
      </c>
    </row>
    <row r="3090" spans="9:10">
      <c r="I3090" s="62" t="str">
        <f t="shared" si="97"/>
        <v/>
      </c>
      <c r="J3090" s="63" t="str">
        <f t="shared" si="98"/>
        <v/>
      </c>
    </row>
    <row r="3091" spans="9:10">
      <c r="I3091" s="62" t="str">
        <f t="shared" si="97"/>
        <v/>
      </c>
      <c r="J3091" s="63" t="str">
        <f t="shared" si="98"/>
        <v/>
      </c>
    </row>
    <row r="3092" spans="9:10">
      <c r="I3092" s="62" t="str">
        <f t="shared" si="97"/>
        <v/>
      </c>
      <c r="J3092" s="63" t="str">
        <f t="shared" si="98"/>
        <v/>
      </c>
    </row>
    <row r="3093" spans="9:10">
      <c r="I3093" s="62" t="str">
        <f t="shared" si="97"/>
        <v/>
      </c>
      <c r="J3093" s="63" t="str">
        <f t="shared" si="98"/>
        <v/>
      </c>
    </row>
    <row r="3094" spans="9:10">
      <c r="I3094" s="62" t="str">
        <f t="shared" si="97"/>
        <v/>
      </c>
      <c r="J3094" s="63" t="str">
        <f t="shared" si="98"/>
        <v/>
      </c>
    </row>
    <row r="3095" spans="9:10">
      <c r="I3095" s="62" t="str">
        <f t="shared" si="97"/>
        <v/>
      </c>
      <c r="J3095" s="63" t="str">
        <f t="shared" si="98"/>
        <v/>
      </c>
    </row>
    <row r="3096" spans="9:10">
      <c r="I3096" s="62" t="str">
        <f t="shared" si="97"/>
        <v/>
      </c>
      <c r="J3096" s="63" t="str">
        <f t="shared" si="98"/>
        <v/>
      </c>
    </row>
    <row r="3097" spans="9:10">
      <c r="I3097" s="62" t="str">
        <f t="shared" si="97"/>
        <v/>
      </c>
      <c r="J3097" s="63" t="str">
        <f t="shared" si="98"/>
        <v/>
      </c>
    </row>
    <row r="3098" spans="9:10">
      <c r="I3098" s="62" t="str">
        <f t="shared" si="97"/>
        <v/>
      </c>
      <c r="J3098" s="63" t="str">
        <f t="shared" si="98"/>
        <v/>
      </c>
    </row>
    <row r="3099" spans="9:10">
      <c r="I3099" s="62" t="str">
        <f t="shared" si="97"/>
        <v/>
      </c>
      <c r="J3099" s="63" t="str">
        <f t="shared" si="98"/>
        <v/>
      </c>
    </row>
    <row r="3100" spans="9:10">
      <c r="I3100" s="62" t="str">
        <f t="shared" si="97"/>
        <v/>
      </c>
      <c r="J3100" s="63" t="str">
        <f t="shared" si="98"/>
        <v/>
      </c>
    </row>
    <row r="3101" spans="9:10">
      <c r="I3101" s="62" t="str">
        <f t="shared" si="97"/>
        <v/>
      </c>
      <c r="J3101" s="63" t="str">
        <f t="shared" si="98"/>
        <v/>
      </c>
    </row>
    <row r="3102" spans="9:10">
      <c r="I3102" s="62" t="str">
        <f t="shared" si="97"/>
        <v/>
      </c>
      <c r="J3102" s="63" t="str">
        <f t="shared" si="98"/>
        <v/>
      </c>
    </row>
    <row r="3103" spans="9:10">
      <c r="I3103" s="62" t="str">
        <f t="shared" si="97"/>
        <v/>
      </c>
      <c r="J3103" s="63" t="str">
        <f t="shared" si="98"/>
        <v/>
      </c>
    </row>
    <row r="3104" spans="9:10">
      <c r="I3104" s="62" t="str">
        <f t="shared" si="97"/>
        <v/>
      </c>
      <c r="J3104" s="63" t="str">
        <f t="shared" si="98"/>
        <v/>
      </c>
    </row>
    <row r="3105" spans="9:10">
      <c r="I3105" s="62" t="str">
        <f t="shared" si="97"/>
        <v/>
      </c>
      <c r="J3105" s="63" t="str">
        <f t="shared" si="98"/>
        <v/>
      </c>
    </row>
    <row r="3106" spans="9:10">
      <c r="I3106" s="62" t="str">
        <f t="shared" si="97"/>
        <v/>
      </c>
      <c r="J3106" s="63" t="str">
        <f t="shared" si="98"/>
        <v/>
      </c>
    </row>
    <row r="3107" spans="9:10">
      <c r="I3107" s="62" t="str">
        <f t="shared" si="97"/>
        <v/>
      </c>
      <c r="J3107" s="63" t="str">
        <f t="shared" si="98"/>
        <v/>
      </c>
    </row>
    <row r="3108" spans="9:10">
      <c r="I3108" s="62" t="str">
        <f t="shared" si="97"/>
        <v/>
      </c>
      <c r="J3108" s="63" t="str">
        <f t="shared" si="98"/>
        <v/>
      </c>
    </row>
    <row r="3109" spans="9:10">
      <c r="I3109" s="62" t="str">
        <f t="shared" si="97"/>
        <v/>
      </c>
      <c r="J3109" s="63" t="str">
        <f t="shared" si="98"/>
        <v/>
      </c>
    </row>
    <row r="3110" spans="9:10">
      <c r="I3110" s="62" t="str">
        <f t="shared" si="97"/>
        <v/>
      </c>
      <c r="J3110" s="63" t="str">
        <f t="shared" si="98"/>
        <v/>
      </c>
    </row>
    <row r="3111" spans="9:10">
      <c r="I3111" s="62" t="str">
        <f t="shared" si="97"/>
        <v/>
      </c>
      <c r="J3111" s="63" t="str">
        <f t="shared" si="98"/>
        <v/>
      </c>
    </row>
    <row r="3112" spans="9:10">
      <c r="I3112" s="62" t="str">
        <f t="shared" si="97"/>
        <v/>
      </c>
      <c r="J3112" s="63" t="str">
        <f t="shared" si="98"/>
        <v/>
      </c>
    </row>
    <row r="3113" spans="9:10">
      <c r="I3113" s="62" t="str">
        <f t="shared" si="97"/>
        <v/>
      </c>
      <c r="J3113" s="63" t="str">
        <f t="shared" si="98"/>
        <v/>
      </c>
    </row>
    <row r="3114" spans="9:10">
      <c r="I3114" s="62" t="str">
        <f t="shared" si="97"/>
        <v/>
      </c>
      <c r="J3114" s="63" t="str">
        <f t="shared" si="98"/>
        <v/>
      </c>
    </row>
    <row r="3115" spans="9:10">
      <c r="I3115" s="62" t="str">
        <f t="shared" si="97"/>
        <v/>
      </c>
      <c r="J3115" s="63" t="str">
        <f t="shared" si="98"/>
        <v/>
      </c>
    </row>
    <row r="3116" spans="9:10">
      <c r="I3116" s="62" t="str">
        <f t="shared" si="97"/>
        <v/>
      </c>
      <c r="J3116" s="63" t="str">
        <f t="shared" si="98"/>
        <v/>
      </c>
    </row>
    <row r="3117" spans="9:10">
      <c r="I3117" s="62" t="str">
        <f t="shared" si="97"/>
        <v/>
      </c>
      <c r="J3117" s="63" t="str">
        <f t="shared" si="98"/>
        <v/>
      </c>
    </row>
    <row r="3118" spans="9:10">
      <c r="I3118" s="62" t="str">
        <f t="shared" si="97"/>
        <v/>
      </c>
      <c r="J3118" s="63" t="str">
        <f t="shared" si="98"/>
        <v/>
      </c>
    </row>
    <row r="3119" spans="9:10">
      <c r="I3119" s="62" t="str">
        <f t="shared" si="97"/>
        <v/>
      </c>
      <c r="J3119" s="63" t="str">
        <f t="shared" si="98"/>
        <v/>
      </c>
    </row>
    <row r="3120" spans="9:10">
      <c r="I3120" s="62" t="str">
        <f t="shared" si="97"/>
        <v/>
      </c>
      <c r="J3120" s="63" t="str">
        <f t="shared" si="98"/>
        <v/>
      </c>
    </row>
    <row r="3121" spans="9:10">
      <c r="I3121" s="62" t="str">
        <f t="shared" si="97"/>
        <v/>
      </c>
      <c r="J3121" s="63" t="str">
        <f t="shared" si="98"/>
        <v/>
      </c>
    </row>
    <row r="3122" spans="9:10">
      <c r="I3122" s="62" t="str">
        <f t="shared" si="97"/>
        <v/>
      </c>
      <c r="J3122" s="63" t="str">
        <f t="shared" si="98"/>
        <v/>
      </c>
    </row>
    <row r="3123" spans="9:10">
      <c r="I3123" s="62" t="str">
        <f t="shared" si="97"/>
        <v/>
      </c>
      <c r="J3123" s="63" t="str">
        <f t="shared" si="98"/>
        <v/>
      </c>
    </row>
    <row r="3124" spans="9:10">
      <c r="I3124" s="62" t="str">
        <f t="shared" si="97"/>
        <v/>
      </c>
      <c r="J3124" s="63" t="str">
        <f t="shared" si="98"/>
        <v/>
      </c>
    </row>
    <row r="3125" spans="9:10">
      <c r="I3125" s="62" t="str">
        <f t="shared" si="97"/>
        <v/>
      </c>
      <c r="J3125" s="63" t="str">
        <f t="shared" si="98"/>
        <v/>
      </c>
    </row>
    <row r="3126" spans="9:10">
      <c r="I3126" s="62" t="str">
        <f t="shared" si="97"/>
        <v/>
      </c>
      <c r="J3126" s="63" t="str">
        <f t="shared" si="98"/>
        <v/>
      </c>
    </row>
    <row r="3127" spans="9:10">
      <c r="I3127" s="62" t="str">
        <f t="shared" si="97"/>
        <v/>
      </c>
      <c r="J3127" s="63" t="str">
        <f t="shared" si="98"/>
        <v/>
      </c>
    </row>
    <row r="3128" spans="9:10">
      <c r="I3128" s="62" t="str">
        <f t="shared" si="97"/>
        <v/>
      </c>
      <c r="J3128" s="63" t="str">
        <f t="shared" si="98"/>
        <v/>
      </c>
    </row>
    <row r="3129" spans="9:10">
      <c r="I3129" s="62" t="str">
        <f t="shared" si="97"/>
        <v/>
      </c>
      <c r="J3129" s="63" t="str">
        <f t="shared" si="98"/>
        <v/>
      </c>
    </row>
    <row r="3130" spans="9:10">
      <c r="I3130" s="62" t="str">
        <f t="shared" si="97"/>
        <v/>
      </c>
      <c r="J3130" s="63" t="str">
        <f t="shared" si="98"/>
        <v/>
      </c>
    </row>
    <row r="3131" spans="9:10">
      <c r="I3131" s="62" t="str">
        <f t="shared" si="97"/>
        <v/>
      </c>
      <c r="J3131" s="63" t="str">
        <f t="shared" si="98"/>
        <v/>
      </c>
    </row>
    <row r="3132" spans="9:10">
      <c r="I3132" s="62" t="str">
        <f t="shared" si="97"/>
        <v/>
      </c>
      <c r="J3132" s="63" t="str">
        <f t="shared" si="98"/>
        <v/>
      </c>
    </row>
    <row r="3133" spans="9:10">
      <c r="I3133" s="62" t="str">
        <f t="shared" si="97"/>
        <v/>
      </c>
      <c r="J3133" s="63" t="str">
        <f t="shared" si="98"/>
        <v/>
      </c>
    </row>
    <row r="3134" spans="9:10">
      <c r="I3134" s="62" t="str">
        <f t="shared" si="97"/>
        <v/>
      </c>
      <c r="J3134" s="63" t="str">
        <f t="shared" si="98"/>
        <v/>
      </c>
    </row>
    <row r="3135" spans="9:10">
      <c r="I3135" s="62" t="str">
        <f t="shared" si="97"/>
        <v/>
      </c>
      <c r="J3135" s="63" t="str">
        <f t="shared" si="98"/>
        <v/>
      </c>
    </row>
    <row r="3136" spans="9:10">
      <c r="I3136" s="62" t="str">
        <f t="shared" si="97"/>
        <v/>
      </c>
      <c r="J3136" s="63" t="str">
        <f t="shared" si="98"/>
        <v/>
      </c>
    </row>
    <row r="3137" spans="9:10">
      <c r="I3137" s="62" t="str">
        <f t="shared" si="97"/>
        <v/>
      </c>
      <c r="J3137" s="63" t="str">
        <f t="shared" si="98"/>
        <v/>
      </c>
    </row>
    <row r="3138" spans="9:10">
      <c r="I3138" s="62" t="str">
        <f t="shared" si="97"/>
        <v/>
      </c>
      <c r="J3138" s="63" t="str">
        <f t="shared" si="98"/>
        <v/>
      </c>
    </row>
    <row r="3139" spans="9:10">
      <c r="I3139" s="62" t="str">
        <f t="shared" si="97"/>
        <v/>
      </c>
      <c r="J3139" s="63" t="str">
        <f t="shared" si="98"/>
        <v/>
      </c>
    </row>
    <row r="3140" spans="9:10">
      <c r="I3140" s="62" t="str">
        <f t="shared" si="97"/>
        <v/>
      </c>
      <c r="J3140" s="63" t="str">
        <f t="shared" si="98"/>
        <v/>
      </c>
    </row>
    <row r="3141" spans="9:10">
      <c r="I3141" s="62" t="str">
        <f t="shared" si="97"/>
        <v/>
      </c>
      <c r="J3141" s="63" t="str">
        <f t="shared" si="98"/>
        <v/>
      </c>
    </row>
    <row r="3142" spans="9:10">
      <c r="I3142" s="62" t="str">
        <f t="shared" si="97"/>
        <v/>
      </c>
      <c r="J3142" s="63" t="str">
        <f t="shared" si="98"/>
        <v/>
      </c>
    </row>
    <row r="3143" spans="9:10">
      <c r="I3143" s="62" t="str">
        <f t="shared" si="97"/>
        <v/>
      </c>
      <c r="J3143" s="63" t="str">
        <f t="shared" si="98"/>
        <v/>
      </c>
    </row>
    <row r="3144" spans="9:10">
      <c r="I3144" s="62" t="str">
        <f t="shared" si="97"/>
        <v/>
      </c>
      <c r="J3144" s="63" t="str">
        <f t="shared" si="98"/>
        <v/>
      </c>
    </row>
    <row r="3145" spans="9:10">
      <c r="I3145" s="62" t="str">
        <f t="shared" si="97"/>
        <v/>
      </c>
      <c r="J3145" s="63" t="str">
        <f t="shared" si="98"/>
        <v/>
      </c>
    </row>
    <row r="3146" spans="9:10">
      <c r="I3146" s="62" t="str">
        <f t="shared" si="97"/>
        <v/>
      </c>
      <c r="J3146" s="63" t="str">
        <f t="shared" si="98"/>
        <v/>
      </c>
    </row>
    <row r="3147" spans="9:10">
      <c r="I3147" s="62" t="str">
        <f t="shared" si="97"/>
        <v/>
      </c>
      <c r="J3147" s="63" t="str">
        <f t="shared" si="98"/>
        <v/>
      </c>
    </row>
    <row r="3148" spans="9:10">
      <c r="I3148" s="62" t="str">
        <f t="shared" ref="I3148:I3211" si="99">IF(B3148="","",IF(B3148="Total",I3146,IF(B3146="Total",I3146, IF(ISNUMBER(A3148),A3148,I3147))))</f>
        <v/>
      </c>
      <c r="J3148" s="63" t="str">
        <f t="shared" si="98"/>
        <v/>
      </c>
    </row>
    <row r="3149" spans="9:10">
      <c r="I3149" s="62" t="str">
        <f t="shared" si="99"/>
        <v/>
      </c>
      <c r="J3149" s="63" t="str">
        <f t="shared" si="98"/>
        <v/>
      </c>
    </row>
    <row r="3150" spans="9:10">
      <c r="I3150" s="62" t="str">
        <f t="shared" si="99"/>
        <v/>
      </c>
      <c r="J3150" s="63" t="str">
        <f t="shared" si="98"/>
        <v/>
      </c>
    </row>
    <row r="3151" spans="9:10">
      <c r="I3151" s="62" t="str">
        <f t="shared" si="99"/>
        <v/>
      </c>
      <c r="J3151" s="63" t="str">
        <f t="shared" ref="J3151:J3214" si="100">IF(B3151="","",IF(B3151="Total",J3149,IF(B3149="Total",J3149,IF(A3151="",J3150,IF(ISNUMBER(A3150),B3150,IF(ISNUMBER(A3151),B3151,J3150))))))</f>
        <v/>
      </c>
    </row>
    <row r="3152" spans="9:10">
      <c r="I3152" s="62" t="str">
        <f t="shared" si="99"/>
        <v/>
      </c>
      <c r="J3152" s="63" t="str">
        <f t="shared" si="100"/>
        <v/>
      </c>
    </row>
    <row r="3153" spans="9:10">
      <c r="I3153" s="62" t="str">
        <f t="shared" si="99"/>
        <v/>
      </c>
      <c r="J3153" s="63" t="str">
        <f t="shared" si="100"/>
        <v/>
      </c>
    </row>
    <row r="3154" spans="9:10">
      <c r="I3154" s="62" t="str">
        <f t="shared" si="99"/>
        <v/>
      </c>
      <c r="J3154" s="63" t="str">
        <f t="shared" si="100"/>
        <v/>
      </c>
    </row>
    <row r="3155" spans="9:10">
      <c r="I3155" s="62" t="str">
        <f t="shared" si="99"/>
        <v/>
      </c>
      <c r="J3155" s="63" t="str">
        <f t="shared" si="100"/>
        <v/>
      </c>
    </row>
    <row r="3156" spans="9:10">
      <c r="I3156" s="62" t="str">
        <f t="shared" si="99"/>
        <v/>
      </c>
      <c r="J3156" s="63" t="str">
        <f t="shared" si="100"/>
        <v/>
      </c>
    </row>
    <row r="3157" spans="9:10">
      <c r="I3157" s="62" t="str">
        <f t="shared" si="99"/>
        <v/>
      </c>
      <c r="J3157" s="63" t="str">
        <f t="shared" si="100"/>
        <v/>
      </c>
    </row>
    <row r="3158" spans="9:10">
      <c r="I3158" s="62" t="str">
        <f t="shared" si="99"/>
        <v/>
      </c>
      <c r="J3158" s="63" t="str">
        <f t="shared" si="100"/>
        <v/>
      </c>
    </row>
    <row r="3159" spans="9:10">
      <c r="I3159" s="62" t="str">
        <f t="shared" si="99"/>
        <v/>
      </c>
      <c r="J3159" s="63" t="str">
        <f t="shared" si="100"/>
        <v/>
      </c>
    </row>
    <row r="3160" spans="9:10">
      <c r="I3160" s="62" t="str">
        <f t="shared" si="99"/>
        <v/>
      </c>
      <c r="J3160" s="63" t="str">
        <f t="shared" si="100"/>
        <v/>
      </c>
    </row>
    <row r="3161" spans="9:10">
      <c r="I3161" s="62" t="str">
        <f t="shared" si="99"/>
        <v/>
      </c>
      <c r="J3161" s="63" t="str">
        <f t="shared" si="100"/>
        <v/>
      </c>
    </row>
    <row r="3162" spans="9:10">
      <c r="I3162" s="62" t="str">
        <f t="shared" si="99"/>
        <v/>
      </c>
      <c r="J3162" s="63" t="str">
        <f t="shared" si="100"/>
        <v/>
      </c>
    </row>
    <row r="3163" spans="9:10">
      <c r="I3163" s="62" t="str">
        <f t="shared" si="99"/>
        <v/>
      </c>
      <c r="J3163" s="63" t="str">
        <f t="shared" si="100"/>
        <v/>
      </c>
    </row>
    <row r="3164" spans="9:10">
      <c r="I3164" s="62" t="str">
        <f t="shared" si="99"/>
        <v/>
      </c>
      <c r="J3164" s="63" t="str">
        <f t="shared" si="100"/>
        <v/>
      </c>
    </row>
    <row r="3165" spans="9:10">
      <c r="I3165" s="62" t="str">
        <f t="shared" si="99"/>
        <v/>
      </c>
      <c r="J3165" s="63" t="str">
        <f t="shared" si="100"/>
        <v/>
      </c>
    </row>
    <row r="3166" spans="9:10">
      <c r="I3166" s="62" t="str">
        <f t="shared" si="99"/>
        <v/>
      </c>
      <c r="J3166" s="63" t="str">
        <f t="shared" si="100"/>
        <v/>
      </c>
    </row>
    <row r="3167" spans="9:10">
      <c r="I3167" s="62" t="str">
        <f t="shared" si="99"/>
        <v/>
      </c>
      <c r="J3167" s="63" t="str">
        <f t="shared" si="100"/>
        <v/>
      </c>
    </row>
    <row r="3168" spans="9:10">
      <c r="I3168" s="62" t="str">
        <f t="shared" si="99"/>
        <v/>
      </c>
      <c r="J3168" s="63" t="str">
        <f t="shared" si="100"/>
        <v/>
      </c>
    </row>
    <row r="3169" spans="9:10">
      <c r="I3169" s="62" t="str">
        <f t="shared" si="99"/>
        <v/>
      </c>
      <c r="J3169" s="63" t="str">
        <f t="shared" si="100"/>
        <v/>
      </c>
    </row>
    <row r="3170" spans="9:10">
      <c r="I3170" s="62" t="str">
        <f t="shared" si="99"/>
        <v/>
      </c>
      <c r="J3170" s="63" t="str">
        <f t="shared" si="100"/>
        <v/>
      </c>
    </row>
    <row r="3171" spans="9:10">
      <c r="I3171" s="62" t="str">
        <f t="shared" si="99"/>
        <v/>
      </c>
      <c r="J3171" s="63" t="str">
        <f t="shared" si="100"/>
        <v/>
      </c>
    </row>
    <row r="3172" spans="9:10">
      <c r="I3172" s="62" t="str">
        <f t="shared" si="99"/>
        <v/>
      </c>
      <c r="J3172" s="63" t="str">
        <f t="shared" si="100"/>
        <v/>
      </c>
    </row>
    <row r="3173" spans="9:10">
      <c r="I3173" s="62" t="str">
        <f t="shared" si="99"/>
        <v/>
      </c>
      <c r="J3173" s="63" t="str">
        <f t="shared" si="100"/>
        <v/>
      </c>
    </row>
    <row r="3174" spans="9:10">
      <c r="I3174" s="62" t="str">
        <f t="shared" si="99"/>
        <v/>
      </c>
      <c r="J3174" s="63" t="str">
        <f t="shared" si="100"/>
        <v/>
      </c>
    </row>
    <row r="3175" spans="9:10">
      <c r="I3175" s="62" t="str">
        <f t="shared" si="99"/>
        <v/>
      </c>
      <c r="J3175" s="63" t="str">
        <f t="shared" si="100"/>
        <v/>
      </c>
    </row>
    <row r="3176" spans="9:10">
      <c r="I3176" s="62" t="str">
        <f t="shared" si="99"/>
        <v/>
      </c>
      <c r="J3176" s="63" t="str">
        <f t="shared" si="100"/>
        <v/>
      </c>
    </row>
    <row r="3177" spans="9:10">
      <c r="I3177" s="62" t="str">
        <f t="shared" si="99"/>
        <v/>
      </c>
      <c r="J3177" s="63" t="str">
        <f t="shared" si="100"/>
        <v/>
      </c>
    </row>
    <row r="3178" spans="9:10">
      <c r="I3178" s="62" t="str">
        <f t="shared" si="99"/>
        <v/>
      </c>
      <c r="J3178" s="63" t="str">
        <f t="shared" si="100"/>
        <v/>
      </c>
    </row>
    <row r="3179" spans="9:10">
      <c r="I3179" s="62" t="str">
        <f t="shared" si="99"/>
        <v/>
      </c>
      <c r="J3179" s="63" t="str">
        <f t="shared" si="100"/>
        <v/>
      </c>
    </row>
    <row r="3180" spans="9:10">
      <c r="I3180" s="62" t="str">
        <f t="shared" si="99"/>
        <v/>
      </c>
      <c r="J3180" s="63" t="str">
        <f t="shared" si="100"/>
        <v/>
      </c>
    </row>
    <row r="3181" spans="9:10">
      <c r="I3181" s="62" t="str">
        <f t="shared" si="99"/>
        <v/>
      </c>
      <c r="J3181" s="63" t="str">
        <f t="shared" si="100"/>
        <v/>
      </c>
    </row>
    <row r="3182" spans="9:10">
      <c r="I3182" s="62" t="str">
        <f t="shared" si="99"/>
        <v/>
      </c>
      <c r="J3182" s="63" t="str">
        <f t="shared" si="100"/>
        <v/>
      </c>
    </row>
    <row r="3183" spans="9:10">
      <c r="I3183" s="62" t="str">
        <f t="shared" si="99"/>
        <v/>
      </c>
      <c r="J3183" s="63" t="str">
        <f t="shared" si="100"/>
        <v/>
      </c>
    </row>
    <row r="3184" spans="9:10">
      <c r="I3184" s="62" t="str">
        <f t="shared" si="99"/>
        <v/>
      </c>
      <c r="J3184" s="63" t="str">
        <f t="shared" si="100"/>
        <v/>
      </c>
    </row>
    <row r="3185" spans="9:10">
      <c r="I3185" s="62" t="str">
        <f t="shared" si="99"/>
        <v/>
      </c>
      <c r="J3185" s="63" t="str">
        <f t="shared" si="100"/>
        <v/>
      </c>
    </row>
    <row r="3186" spans="9:10">
      <c r="I3186" s="62" t="str">
        <f t="shared" si="99"/>
        <v/>
      </c>
      <c r="J3186" s="63" t="str">
        <f t="shared" si="100"/>
        <v/>
      </c>
    </row>
    <row r="3187" spans="9:10">
      <c r="I3187" s="62" t="str">
        <f t="shared" si="99"/>
        <v/>
      </c>
      <c r="J3187" s="63" t="str">
        <f t="shared" si="100"/>
        <v/>
      </c>
    </row>
    <row r="3188" spans="9:10">
      <c r="I3188" s="62" t="str">
        <f t="shared" si="99"/>
        <v/>
      </c>
      <c r="J3188" s="63" t="str">
        <f t="shared" si="100"/>
        <v/>
      </c>
    </row>
    <row r="3189" spans="9:10">
      <c r="I3189" s="62" t="str">
        <f t="shared" si="99"/>
        <v/>
      </c>
      <c r="J3189" s="63" t="str">
        <f t="shared" si="100"/>
        <v/>
      </c>
    </row>
    <row r="3190" spans="9:10">
      <c r="I3190" s="62" t="str">
        <f t="shared" si="99"/>
        <v/>
      </c>
      <c r="J3190" s="63" t="str">
        <f t="shared" si="100"/>
        <v/>
      </c>
    </row>
    <row r="3191" spans="9:10">
      <c r="I3191" s="62" t="str">
        <f t="shared" si="99"/>
        <v/>
      </c>
      <c r="J3191" s="63" t="str">
        <f t="shared" si="100"/>
        <v/>
      </c>
    </row>
    <row r="3192" spans="9:10">
      <c r="I3192" s="62" t="str">
        <f t="shared" si="99"/>
        <v/>
      </c>
      <c r="J3192" s="63" t="str">
        <f t="shared" si="100"/>
        <v/>
      </c>
    </row>
    <row r="3193" spans="9:10">
      <c r="I3193" s="62" t="str">
        <f t="shared" si="99"/>
        <v/>
      </c>
      <c r="J3193" s="63" t="str">
        <f t="shared" si="100"/>
        <v/>
      </c>
    </row>
    <row r="3194" spans="9:10">
      <c r="I3194" s="62" t="str">
        <f t="shared" si="99"/>
        <v/>
      </c>
      <c r="J3194" s="63" t="str">
        <f t="shared" si="100"/>
        <v/>
      </c>
    </row>
    <row r="3195" spans="9:10">
      <c r="I3195" s="62" t="str">
        <f t="shared" si="99"/>
        <v/>
      </c>
      <c r="J3195" s="63" t="str">
        <f t="shared" si="100"/>
        <v/>
      </c>
    </row>
    <row r="3196" spans="9:10">
      <c r="I3196" s="62" t="str">
        <f t="shared" si="99"/>
        <v/>
      </c>
      <c r="J3196" s="63" t="str">
        <f t="shared" si="100"/>
        <v/>
      </c>
    </row>
    <row r="3197" spans="9:10">
      <c r="I3197" s="62" t="str">
        <f t="shared" si="99"/>
        <v/>
      </c>
      <c r="J3197" s="63" t="str">
        <f t="shared" si="100"/>
        <v/>
      </c>
    </row>
    <row r="3198" spans="9:10">
      <c r="I3198" s="62" t="str">
        <f t="shared" si="99"/>
        <v/>
      </c>
      <c r="J3198" s="63" t="str">
        <f t="shared" si="100"/>
        <v/>
      </c>
    </row>
    <row r="3199" spans="9:10">
      <c r="I3199" s="62" t="str">
        <f t="shared" si="99"/>
        <v/>
      </c>
      <c r="J3199" s="63" t="str">
        <f t="shared" si="100"/>
        <v/>
      </c>
    </row>
    <row r="3200" spans="9:10">
      <c r="I3200" s="62" t="str">
        <f t="shared" si="99"/>
        <v/>
      </c>
      <c r="J3200" s="63" t="str">
        <f t="shared" si="100"/>
        <v/>
      </c>
    </row>
    <row r="3201" spans="9:10">
      <c r="I3201" s="62" t="str">
        <f t="shared" si="99"/>
        <v/>
      </c>
      <c r="J3201" s="63" t="str">
        <f t="shared" si="100"/>
        <v/>
      </c>
    </row>
    <row r="3202" spans="9:10">
      <c r="I3202" s="62" t="str">
        <f t="shared" si="99"/>
        <v/>
      </c>
      <c r="J3202" s="63" t="str">
        <f t="shared" si="100"/>
        <v/>
      </c>
    </row>
    <row r="3203" spans="9:10">
      <c r="I3203" s="62" t="str">
        <f t="shared" si="99"/>
        <v/>
      </c>
      <c r="J3203" s="63" t="str">
        <f t="shared" si="100"/>
        <v/>
      </c>
    </row>
    <row r="3204" spans="9:10">
      <c r="I3204" s="62" t="str">
        <f t="shared" si="99"/>
        <v/>
      </c>
      <c r="J3204" s="63" t="str">
        <f t="shared" si="100"/>
        <v/>
      </c>
    </row>
    <row r="3205" spans="9:10">
      <c r="I3205" s="62" t="str">
        <f t="shared" si="99"/>
        <v/>
      </c>
      <c r="J3205" s="63" t="str">
        <f t="shared" si="100"/>
        <v/>
      </c>
    </row>
    <row r="3206" spans="9:10">
      <c r="I3206" s="62" t="str">
        <f t="shared" si="99"/>
        <v/>
      </c>
      <c r="J3206" s="63" t="str">
        <f t="shared" si="100"/>
        <v/>
      </c>
    </row>
    <row r="3207" spans="9:10">
      <c r="I3207" s="62" t="str">
        <f t="shared" si="99"/>
        <v/>
      </c>
      <c r="J3207" s="63" t="str">
        <f t="shared" si="100"/>
        <v/>
      </c>
    </row>
    <row r="3208" spans="9:10">
      <c r="I3208" s="62" t="str">
        <f t="shared" si="99"/>
        <v/>
      </c>
      <c r="J3208" s="63" t="str">
        <f t="shared" si="100"/>
        <v/>
      </c>
    </row>
    <row r="3209" spans="9:10">
      <c r="I3209" s="62" t="str">
        <f t="shared" si="99"/>
        <v/>
      </c>
      <c r="J3209" s="63" t="str">
        <f t="shared" si="100"/>
        <v/>
      </c>
    </row>
    <row r="3210" spans="9:10">
      <c r="I3210" s="62" t="str">
        <f t="shared" si="99"/>
        <v/>
      </c>
      <c r="J3210" s="63" t="str">
        <f t="shared" si="100"/>
        <v/>
      </c>
    </row>
    <row r="3211" spans="9:10">
      <c r="I3211" s="62" t="str">
        <f t="shared" si="99"/>
        <v/>
      </c>
      <c r="J3211" s="63" t="str">
        <f t="shared" si="100"/>
        <v/>
      </c>
    </row>
    <row r="3212" spans="9:10">
      <c r="I3212" s="62" t="str">
        <f t="shared" ref="I3212:I3275" si="101">IF(B3212="","",IF(B3212="Total",I3210,IF(B3210="Total",I3210, IF(ISNUMBER(A3212),A3212,I3211))))</f>
        <v/>
      </c>
      <c r="J3212" s="63" t="str">
        <f t="shared" si="100"/>
        <v/>
      </c>
    </row>
    <row r="3213" spans="9:10">
      <c r="I3213" s="62" t="str">
        <f t="shared" si="101"/>
        <v/>
      </c>
      <c r="J3213" s="63" t="str">
        <f t="shared" si="100"/>
        <v/>
      </c>
    </row>
    <row r="3214" spans="9:10">
      <c r="I3214" s="62" t="str">
        <f t="shared" si="101"/>
        <v/>
      </c>
      <c r="J3214" s="63" t="str">
        <f t="shared" si="100"/>
        <v/>
      </c>
    </row>
    <row r="3215" spans="9:10">
      <c r="I3215" s="62" t="str">
        <f t="shared" si="101"/>
        <v/>
      </c>
      <c r="J3215" s="63" t="str">
        <f t="shared" ref="J3215:J3278" si="102">IF(B3215="","",IF(B3215="Total",J3213,IF(B3213="Total",J3213,IF(A3215="",J3214,IF(ISNUMBER(A3214),B3214,IF(ISNUMBER(A3215),B3215,J3214))))))</f>
        <v/>
      </c>
    </row>
    <row r="3216" spans="9:10">
      <c r="I3216" s="62" t="str">
        <f t="shared" si="101"/>
        <v/>
      </c>
      <c r="J3216" s="63" t="str">
        <f t="shared" si="102"/>
        <v/>
      </c>
    </row>
    <row r="3217" spans="9:10">
      <c r="I3217" s="62" t="str">
        <f t="shared" si="101"/>
        <v/>
      </c>
      <c r="J3217" s="63" t="str">
        <f t="shared" si="102"/>
        <v/>
      </c>
    </row>
    <row r="3218" spans="9:10">
      <c r="I3218" s="62" t="str">
        <f t="shared" si="101"/>
        <v/>
      </c>
      <c r="J3218" s="63" t="str">
        <f t="shared" si="102"/>
        <v/>
      </c>
    </row>
    <row r="3219" spans="9:10">
      <c r="I3219" s="62" t="str">
        <f t="shared" si="101"/>
        <v/>
      </c>
      <c r="J3219" s="63" t="str">
        <f t="shared" si="102"/>
        <v/>
      </c>
    </row>
    <row r="3220" spans="9:10">
      <c r="I3220" s="62" t="str">
        <f t="shared" si="101"/>
        <v/>
      </c>
      <c r="J3220" s="63" t="str">
        <f t="shared" si="102"/>
        <v/>
      </c>
    </row>
    <row r="3221" spans="9:10">
      <c r="I3221" s="62" t="str">
        <f t="shared" si="101"/>
        <v/>
      </c>
      <c r="J3221" s="63" t="str">
        <f t="shared" si="102"/>
        <v/>
      </c>
    </row>
    <row r="3222" spans="9:10">
      <c r="I3222" s="62" t="str">
        <f t="shared" si="101"/>
        <v/>
      </c>
      <c r="J3222" s="63" t="str">
        <f t="shared" si="102"/>
        <v/>
      </c>
    </row>
    <row r="3223" spans="9:10">
      <c r="I3223" s="62" t="str">
        <f t="shared" si="101"/>
        <v/>
      </c>
      <c r="J3223" s="63" t="str">
        <f t="shared" si="102"/>
        <v/>
      </c>
    </row>
    <row r="3224" spans="9:10">
      <c r="I3224" s="62" t="str">
        <f t="shared" si="101"/>
        <v/>
      </c>
      <c r="J3224" s="63" t="str">
        <f t="shared" si="102"/>
        <v/>
      </c>
    </row>
    <row r="3225" spans="9:10">
      <c r="I3225" s="62" t="str">
        <f t="shared" si="101"/>
        <v/>
      </c>
      <c r="J3225" s="63" t="str">
        <f t="shared" si="102"/>
        <v/>
      </c>
    </row>
    <row r="3226" spans="9:10">
      <c r="I3226" s="62" t="str">
        <f t="shared" si="101"/>
        <v/>
      </c>
      <c r="J3226" s="63" t="str">
        <f t="shared" si="102"/>
        <v/>
      </c>
    </row>
    <row r="3227" spans="9:10">
      <c r="I3227" s="62" t="str">
        <f t="shared" si="101"/>
        <v/>
      </c>
      <c r="J3227" s="63" t="str">
        <f t="shared" si="102"/>
        <v/>
      </c>
    </row>
    <row r="3228" spans="9:10">
      <c r="I3228" s="62" t="str">
        <f t="shared" si="101"/>
        <v/>
      </c>
      <c r="J3228" s="63" t="str">
        <f t="shared" si="102"/>
        <v/>
      </c>
    </row>
    <row r="3229" spans="9:10">
      <c r="I3229" s="62" t="str">
        <f t="shared" si="101"/>
        <v/>
      </c>
      <c r="J3229" s="63" t="str">
        <f t="shared" si="102"/>
        <v/>
      </c>
    </row>
    <row r="3230" spans="9:10">
      <c r="I3230" s="62" t="str">
        <f t="shared" si="101"/>
        <v/>
      </c>
      <c r="J3230" s="63" t="str">
        <f t="shared" si="102"/>
        <v/>
      </c>
    </row>
    <row r="3231" spans="9:10">
      <c r="I3231" s="62" t="str">
        <f t="shared" si="101"/>
        <v/>
      </c>
      <c r="J3231" s="63" t="str">
        <f t="shared" si="102"/>
        <v/>
      </c>
    </row>
    <row r="3232" spans="9:10">
      <c r="I3232" s="62" t="str">
        <f t="shared" si="101"/>
        <v/>
      </c>
      <c r="J3232" s="63" t="str">
        <f t="shared" si="102"/>
        <v/>
      </c>
    </row>
    <row r="3233" spans="9:10">
      <c r="I3233" s="62" t="str">
        <f t="shared" si="101"/>
        <v/>
      </c>
      <c r="J3233" s="63" t="str">
        <f t="shared" si="102"/>
        <v/>
      </c>
    </row>
    <row r="3234" spans="9:10">
      <c r="I3234" s="62" t="str">
        <f t="shared" si="101"/>
        <v/>
      </c>
      <c r="J3234" s="63" t="str">
        <f t="shared" si="102"/>
        <v/>
      </c>
    </row>
    <row r="3235" spans="9:10">
      <c r="I3235" s="62" t="str">
        <f t="shared" si="101"/>
        <v/>
      </c>
      <c r="J3235" s="63" t="str">
        <f t="shared" si="102"/>
        <v/>
      </c>
    </row>
    <row r="3236" spans="9:10">
      <c r="I3236" s="62" t="str">
        <f t="shared" si="101"/>
        <v/>
      </c>
      <c r="J3236" s="63" t="str">
        <f t="shared" si="102"/>
        <v/>
      </c>
    </row>
    <row r="3237" spans="9:10">
      <c r="I3237" s="62" t="str">
        <f t="shared" si="101"/>
        <v/>
      </c>
      <c r="J3237" s="63" t="str">
        <f t="shared" si="102"/>
        <v/>
      </c>
    </row>
    <row r="3238" spans="9:10">
      <c r="I3238" s="62" t="str">
        <f t="shared" si="101"/>
        <v/>
      </c>
      <c r="J3238" s="63" t="str">
        <f t="shared" si="102"/>
        <v/>
      </c>
    </row>
    <row r="3239" spans="9:10">
      <c r="I3239" s="62" t="str">
        <f t="shared" si="101"/>
        <v/>
      </c>
      <c r="J3239" s="63" t="str">
        <f t="shared" si="102"/>
        <v/>
      </c>
    </row>
    <row r="3240" spans="9:10">
      <c r="I3240" s="62" t="str">
        <f t="shared" si="101"/>
        <v/>
      </c>
      <c r="J3240" s="63" t="str">
        <f t="shared" si="102"/>
        <v/>
      </c>
    </row>
    <row r="3241" spans="9:10">
      <c r="I3241" s="62" t="str">
        <f t="shared" si="101"/>
        <v/>
      </c>
      <c r="J3241" s="63" t="str">
        <f t="shared" si="102"/>
        <v/>
      </c>
    </row>
    <row r="3242" spans="9:10">
      <c r="I3242" s="62" t="str">
        <f t="shared" si="101"/>
        <v/>
      </c>
      <c r="J3242" s="63" t="str">
        <f t="shared" si="102"/>
        <v/>
      </c>
    </row>
    <row r="3243" spans="9:10">
      <c r="I3243" s="62" t="str">
        <f t="shared" si="101"/>
        <v/>
      </c>
      <c r="J3243" s="63" t="str">
        <f t="shared" si="102"/>
        <v/>
      </c>
    </row>
    <row r="3244" spans="9:10">
      <c r="I3244" s="62" t="str">
        <f t="shared" si="101"/>
        <v/>
      </c>
      <c r="J3244" s="63" t="str">
        <f t="shared" si="102"/>
        <v/>
      </c>
    </row>
    <row r="3245" spans="9:10">
      <c r="I3245" s="62" t="str">
        <f t="shared" si="101"/>
        <v/>
      </c>
      <c r="J3245" s="63" t="str">
        <f t="shared" si="102"/>
        <v/>
      </c>
    </row>
    <row r="3246" spans="9:10">
      <c r="I3246" s="62" t="str">
        <f t="shared" si="101"/>
        <v/>
      </c>
      <c r="J3246" s="63" t="str">
        <f t="shared" si="102"/>
        <v/>
      </c>
    </row>
    <row r="3247" spans="9:10">
      <c r="I3247" s="62" t="str">
        <f t="shared" si="101"/>
        <v/>
      </c>
      <c r="J3247" s="63" t="str">
        <f t="shared" si="102"/>
        <v/>
      </c>
    </row>
    <row r="3248" spans="9:10">
      <c r="I3248" s="62" t="str">
        <f t="shared" si="101"/>
        <v/>
      </c>
      <c r="J3248" s="63" t="str">
        <f t="shared" si="102"/>
        <v/>
      </c>
    </row>
    <row r="3249" spans="9:10">
      <c r="I3249" s="62" t="str">
        <f t="shared" si="101"/>
        <v/>
      </c>
      <c r="J3249" s="63" t="str">
        <f t="shared" si="102"/>
        <v/>
      </c>
    </row>
    <row r="3250" spans="9:10">
      <c r="I3250" s="62" t="str">
        <f t="shared" si="101"/>
        <v/>
      </c>
      <c r="J3250" s="63" t="str">
        <f t="shared" si="102"/>
        <v/>
      </c>
    </row>
    <row r="3251" spans="9:10">
      <c r="I3251" s="62" t="str">
        <f t="shared" si="101"/>
        <v/>
      </c>
      <c r="J3251" s="63" t="str">
        <f t="shared" si="102"/>
        <v/>
      </c>
    </row>
    <row r="3252" spans="9:10">
      <c r="I3252" s="62" t="str">
        <f t="shared" si="101"/>
        <v/>
      </c>
      <c r="J3252" s="63" t="str">
        <f t="shared" si="102"/>
        <v/>
      </c>
    </row>
    <row r="3253" spans="9:10">
      <c r="I3253" s="62" t="str">
        <f t="shared" si="101"/>
        <v/>
      </c>
      <c r="J3253" s="63" t="str">
        <f t="shared" si="102"/>
        <v/>
      </c>
    </row>
    <row r="3254" spans="9:10">
      <c r="I3254" s="62" t="str">
        <f t="shared" si="101"/>
        <v/>
      </c>
      <c r="J3254" s="63" t="str">
        <f t="shared" si="102"/>
        <v/>
      </c>
    </row>
    <row r="3255" spans="9:10">
      <c r="I3255" s="62" t="str">
        <f t="shared" si="101"/>
        <v/>
      </c>
      <c r="J3255" s="63" t="str">
        <f t="shared" si="102"/>
        <v/>
      </c>
    </row>
    <row r="3256" spans="9:10">
      <c r="I3256" s="62" t="str">
        <f t="shared" si="101"/>
        <v/>
      </c>
      <c r="J3256" s="63" t="str">
        <f t="shared" si="102"/>
        <v/>
      </c>
    </row>
    <row r="3257" spans="9:10">
      <c r="I3257" s="62" t="str">
        <f t="shared" si="101"/>
        <v/>
      </c>
      <c r="J3257" s="63" t="str">
        <f t="shared" si="102"/>
        <v/>
      </c>
    </row>
    <row r="3258" spans="9:10">
      <c r="I3258" s="62" t="str">
        <f t="shared" si="101"/>
        <v/>
      </c>
      <c r="J3258" s="63" t="str">
        <f t="shared" si="102"/>
        <v/>
      </c>
    </row>
    <row r="3259" spans="9:10">
      <c r="I3259" s="62" t="str">
        <f t="shared" si="101"/>
        <v/>
      </c>
      <c r="J3259" s="63" t="str">
        <f t="shared" si="102"/>
        <v/>
      </c>
    </row>
    <row r="3260" spans="9:10">
      <c r="I3260" s="62" t="str">
        <f t="shared" si="101"/>
        <v/>
      </c>
      <c r="J3260" s="63" t="str">
        <f t="shared" si="102"/>
        <v/>
      </c>
    </row>
    <row r="3261" spans="9:10">
      <c r="I3261" s="62" t="str">
        <f t="shared" si="101"/>
        <v/>
      </c>
      <c r="J3261" s="63" t="str">
        <f t="shared" si="102"/>
        <v/>
      </c>
    </row>
    <row r="3262" spans="9:10">
      <c r="I3262" s="62" t="str">
        <f t="shared" si="101"/>
        <v/>
      </c>
      <c r="J3262" s="63" t="str">
        <f t="shared" si="102"/>
        <v/>
      </c>
    </row>
    <row r="3263" spans="9:10">
      <c r="I3263" s="62" t="str">
        <f t="shared" si="101"/>
        <v/>
      </c>
      <c r="J3263" s="63" t="str">
        <f t="shared" si="102"/>
        <v/>
      </c>
    </row>
    <row r="3264" spans="9:10">
      <c r="I3264" s="62" t="str">
        <f t="shared" si="101"/>
        <v/>
      </c>
      <c r="J3264" s="63" t="str">
        <f t="shared" si="102"/>
        <v/>
      </c>
    </row>
    <row r="3265" spans="9:10">
      <c r="I3265" s="62" t="str">
        <f t="shared" si="101"/>
        <v/>
      </c>
      <c r="J3265" s="63" t="str">
        <f t="shared" si="102"/>
        <v/>
      </c>
    </row>
    <row r="3266" spans="9:10">
      <c r="I3266" s="62" t="str">
        <f t="shared" si="101"/>
        <v/>
      </c>
      <c r="J3266" s="63" t="str">
        <f t="shared" si="102"/>
        <v/>
      </c>
    </row>
    <row r="3267" spans="9:10">
      <c r="I3267" s="62" t="str">
        <f t="shared" si="101"/>
        <v/>
      </c>
      <c r="J3267" s="63" t="str">
        <f t="shared" si="102"/>
        <v/>
      </c>
    </row>
    <row r="3268" spans="9:10">
      <c r="I3268" s="62" t="str">
        <f t="shared" si="101"/>
        <v/>
      </c>
      <c r="J3268" s="63" t="str">
        <f t="shared" si="102"/>
        <v/>
      </c>
    </row>
    <row r="3269" spans="9:10">
      <c r="I3269" s="62" t="str">
        <f t="shared" si="101"/>
        <v/>
      </c>
      <c r="J3269" s="63" t="str">
        <f t="shared" si="102"/>
        <v/>
      </c>
    </row>
    <row r="3270" spans="9:10">
      <c r="I3270" s="62" t="str">
        <f t="shared" si="101"/>
        <v/>
      </c>
      <c r="J3270" s="63" t="str">
        <f t="shared" si="102"/>
        <v/>
      </c>
    </row>
    <row r="3271" spans="9:10">
      <c r="I3271" s="62" t="str">
        <f t="shared" si="101"/>
        <v/>
      </c>
      <c r="J3271" s="63" t="str">
        <f t="shared" si="102"/>
        <v/>
      </c>
    </row>
    <row r="3272" spans="9:10">
      <c r="I3272" s="62" t="str">
        <f t="shared" si="101"/>
        <v/>
      </c>
      <c r="J3272" s="63" t="str">
        <f t="shared" si="102"/>
        <v/>
      </c>
    </row>
    <row r="3273" spans="9:10">
      <c r="I3273" s="62" t="str">
        <f t="shared" si="101"/>
        <v/>
      </c>
      <c r="J3273" s="63" t="str">
        <f t="shared" si="102"/>
        <v/>
      </c>
    </row>
    <row r="3274" spans="9:10">
      <c r="I3274" s="62" t="str">
        <f t="shared" si="101"/>
        <v/>
      </c>
      <c r="J3274" s="63" t="str">
        <f t="shared" si="102"/>
        <v/>
      </c>
    </row>
    <row r="3275" spans="9:10">
      <c r="I3275" s="62" t="str">
        <f t="shared" si="101"/>
        <v/>
      </c>
      <c r="J3275" s="63" t="str">
        <f t="shared" si="102"/>
        <v/>
      </c>
    </row>
    <row r="3276" spans="9:10">
      <c r="I3276" s="62" t="str">
        <f t="shared" ref="I3276:I3339" si="103">IF(B3276="","",IF(B3276="Total",I3274,IF(B3274="Total",I3274, IF(ISNUMBER(A3276),A3276,I3275))))</f>
        <v/>
      </c>
      <c r="J3276" s="63" t="str">
        <f t="shared" si="102"/>
        <v/>
      </c>
    </row>
    <row r="3277" spans="9:10">
      <c r="I3277" s="62" t="str">
        <f t="shared" si="103"/>
        <v/>
      </c>
      <c r="J3277" s="63" t="str">
        <f t="shared" si="102"/>
        <v/>
      </c>
    </row>
    <row r="3278" spans="9:10">
      <c r="I3278" s="62" t="str">
        <f t="shared" si="103"/>
        <v/>
      </c>
      <c r="J3278" s="63" t="str">
        <f t="shared" si="102"/>
        <v/>
      </c>
    </row>
    <row r="3279" spans="9:10">
      <c r="I3279" s="62" t="str">
        <f t="shared" si="103"/>
        <v/>
      </c>
      <c r="J3279" s="63" t="str">
        <f t="shared" ref="J3279:J3342" si="104">IF(B3279="","",IF(B3279="Total",J3277,IF(B3277="Total",J3277,IF(A3279="",J3278,IF(ISNUMBER(A3278),B3278,IF(ISNUMBER(A3279),B3279,J3278))))))</f>
        <v/>
      </c>
    </row>
    <row r="3280" spans="9:10">
      <c r="I3280" s="62" t="str">
        <f t="shared" si="103"/>
        <v/>
      </c>
      <c r="J3280" s="63" t="str">
        <f t="shared" si="104"/>
        <v/>
      </c>
    </row>
    <row r="3281" spans="9:10">
      <c r="I3281" s="62" t="str">
        <f t="shared" si="103"/>
        <v/>
      </c>
      <c r="J3281" s="63" t="str">
        <f t="shared" si="104"/>
        <v/>
      </c>
    </row>
    <row r="3282" spans="9:10">
      <c r="I3282" s="62" t="str">
        <f t="shared" si="103"/>
        <v/>
      </c>
      <c r="J3282" s="63" t="str">
        <f t="shared" si="104"/>
        <v/>
      </c>
    </row>
    <row r="3283" spans="9:10">
      <c r="I3283" s="62" t="str">
        <f t="shared" si="103"/>
        <v/>
      </c>
      <c r="J3283" s="63" t="str">
        <f t="shared" si="104"/>
        <v/>
      </c>
    </row>
    <row r="3284" spans="9:10">
      <c r="I3284" s="62" t="str">
        <f t="shared" si="103"/>
        <v/>
      </c>
      <c r="J3284" s="63" t="str">
        <f t="shared" si="104"/>
        <v/>
      </c>
    </row>
    <row r="3285" spans="9:10">
      <c r="I3285" s="62" t="str">
        <f t="shared" si="103"/>
        <v/>
      </c>
      <c r="J3285" s="63" t="str">
        <f t="shared" si="104"/>
        <v/>
      </c>
    </row>
    <row r="3286" spans="9:10">
      <c r="I3286" s="62" t="str">
        <f t="shared" si="103"/>
        <v/>
      </c>
      <c r="J3286" s="63" t="str">
        <f t="shared" si="104"/>
        <v/>
      </c>
    </row>
    <row r="3287" spans="9:10">
      <c r="I3287" s="62" t="str">
        <f t="shared" si="103"/>
        <v/>
      </c>
      <c r="J3287" s="63" t="str">
        <f t="shared" si="104"/>
        <v/>
      </c>
    </row>
    <row r="3288" spans="9:10">
      <c r="I3288" s="62" t="str">
        <f t="shared" si="103"/>
        <v/>
      </c>
      <c r="J3288" s="63" t="str">
        <f t="shared" si="104"/>
        <v/>
      </c>
    </row>
    <row r="3289" spans="9:10">
      <c r="I3289" s="62" t="str">
        <f t="shared" si="103"/>
        <v/>
      </c>
      <c r="J3289" s="63" t="str">
        <f t="shared" si="104"/>
        <v/>
      </c>
    </row>
    <row r="3290" spans="9:10">
      <c r="I3290" s="62" t="str">
        <f t="shared" si="103"/>
        <v/>
      </c>
      <c r="J3290" s="63" t="str">
        <f t="shared" si="104"/>
        <v/>
      </c>
    </row>
    <row r="3291" spans="9:10">
      <c r="I3291" s="62" t="str">
        <f t="shared" si="103"/>
        <v/>
      </c>
      <c r="J3291" s="63" t="str">
        <f t="shared" si="104"/>
        <v/>
      </c>
    </row>
    <row r="3292" spans="9:10">
      <c r="I3292" s="62" t="str">
        <f t="shared" si="103"/>
        <v/>
      </c>
      <c r="J3292" s="63" t="str">
        <f t="shared" si="104"/>
        <v/>
      </c>
    </row>
    <row r="3293" spans="9:10">
      <c r="I3293" s="62" t="str">
        <f t="shared" si="103"/>
        <v/>
      </c>
      <c r="J3293" s="63" t="str">
        <f t="shared" si="104"/>
        <v/>
      </c>
    </row>
    <row r="3294" spans="9:10">
      <c r="I3294" s="62" t="str">
        <f t="shared" si="103"/>
        <v/>
      </c>
      <c r="J3294" s="63" t="str">
        <f t="shared" si="104"/>
        <v/>
      </c>
    </row>
    <row r="3295" spans="9:10">
      <c r="I3295" s="62" t="str">
        <f t="shared" si="103"/>
        <v/>
      </c>
      <c r="J3295" s="63" t="str">
        <f t="shared" si="104"/>
        <v/>
      </c>
    </row>
    <row r="3296" spans="9:10">
      <c r="I3296" s="62" t="str">
        <f t="shared" si="103"/>
        <v/>
      </c>
      <c r="J3296" s="63" t="str">
        <f t="shared" si="104"/>
        <v/>
      </c>
    </row>
    <row r="3297" spans="9:10">
      <c r="I3297" s="62" t="str">
        <f t="shared" si="103"/>
        <v/>
      </c>
      <c r="J3297" s="63" t="str">
        <f t="shared" si="104"/>
        <v/>
      </c>
    </row>
    <row r="3298" spans="9:10">
      <c r="I3298" s="62" t="str">
        <f t="shared" si="103"/>
        <v/>
      </c>
      <c r="J3298" s="63" t="str">
        <f t="shared" si="104"/>
        <v/>
      </c>
    </row>
    <row r="3299" spans="9:10">
      <c r="I3299" s="62" t="str">
        <f t="shared" si="103"/>
        <v/>
      </c>
      <c r="J3299" s="63" t="str">
        <f t="shared" si="104"/>
        <v/>
      </c>
    </row>
    <row r="3300" spans="9:10">
      <c r="I3300" s="62" t="str">
        <f t="shared" si="103"/>
        <v/>
      </c>
      <c r="J3300" s="63" t="str">
        <f t="shared" si="104"/>
        <v/>
      </c>
    </row>
    <row r="3301" spans="9:10">
      <c r="I3301" s="62" t="str">
        <f t="shared" si="103"/>
        <v/>
      </c>
      <c r="J3301" s="63" t="str">
        <f t="shared" si="104"/>
        <v/>
      </c>
    </row>
    <row r="3302" spans="9:10">
      <c r="I3302" s="62" t="str">
        <f t="shared" si="103"/>
        <v/>
      </c>
      <c r="J3302" s="63" t="str">
        <f t="shared" si="104"/>
        <v/>
      </c>
    </row>
    <row r="3303" spans="9:10">
      <c r="I3303" s="62" t="str">
        <f t="shared" si="103"/>
        <v/>
      </c>
      <c r="J3303" s="63" t="str">
        <f t="shared" si="104"/>
        <v/>
      </c>
    </row>
    <row r="3304" spans="9:10">
      <c r="I3304" s="62" t="str">
        <f t="shared" si="103"/>
        <v/>
      </c>
      <c r="J3304" s="63" t="str">
        <f t="shared" si="104"/>
        <v/>
      </c>
    </row>
    <row r="3305" spans="9:10">
      <c r="I3305" s="62" t="str">
        <f t="shared" si="103"/>
        <v/>
      </c>
      <c r="J3305" s="63" t="str">
        <f t="shared" si="104"/>
        <v/>
      </c>
    </row>
    <row r="3306" spans="9:10">
      <c r="I3306" s="62" t="str">
        <f t="shared" si="103"/>
        <v/>
      </c>
      <c r="J3306" s="63" t="str">
        <f t="shared" si="104"/>
        <v/>
      </c>
    </row>
    <row r="3307" spans="9:10">
      <c r="I3307" s="62" t="str">
        <f t="shared" si="103"/>
        <v/>
      </c>
      <c r="J3307" s="63" t="str">
        <f t="shared" si="104"/>
        <v/>
      </c>
    </row>
    <row r="3308" spans="9:10">
      <c r="I3308" s="62" t="str">
        <f t="shared" si="103"/>
        <v/>
      </c>
      <c r="J3308" s="63" t="str">
        <f t="shared" si="104"/>
        <v/>
      </c>
    </row>
    <row r="3309" spans="9:10">
      <c r="I3309" s="62" t="str">
        <f t="shared" si="103"/>
        <v/>
      </c>
      <c r="J3309" s="63" t="str">
        <f t="shared" si="104"/>
        <v/>
      </c>
    </row>
    <row r="3310" spans="9:10">
      <c r="I3310" s="62" t="str">
        <f t="shared" si="103"/>
        <v/>
      </c>
      <c r="J3310" s="63" t="str">
        <f t="shared" si="104"/>
        <v/>
      </c>
    </row>
    <row r="3311" spans="9:10">
      <c r="I3311" s="62" t="str">
        <f t="shared" si="103"/>
        <v/>
      </c>
      <c r="J3311" s="63" t="str">
        <f t="shared" si="104"/>
        <v/>
      </c>
    </row>
    <row r="3312" spans="9:10">
      <c r="I3312" s="62" t="str">
        <f t="shared" si="103"/>
        <v/>
      </c>
      <c r="J3312" s="63" t="str">
        <f t="shared" si="104"/>
        <v/>
      </c>
    </row>
    <row r="3313" spans="9:10">
      <c r="I3313" s="62" t="str">
        <f t="shared" si="103"/>
        <v/>
      </c>
      <c r="J3313" s="63" t="str">
        <f t="shared" si="104"/>
        <v/>
      </c>
    </row>
    <row r="3314" spans="9:10">
      <c r="I3314" s="62" t="str">
        <f t="shared" si="103"/>
        <v/>
      </c>
      <c r="J3314" s="63" t="str">
        <f t="shared" si="104"/>
        <v/>
      </c>
    </row>
    <row r="3315" spans="9:10">
      <c r="I3315" s="62" t="str">
        <f t="shared" si="103"/>
        <v/>
      </c>
      <c r="J3315" s="63" t="str">
        <f t="shared" si="104"/>
        <v/>
      </c>
    </row>
    <row r="3316" spans="9:10">
      <c r="I3316" s="62" t="str">
        <f t="shared" si="103"/>
        <v/>
      </c>
      <c r="J3316" s="63" t="str">
        <f t="shared" si="104"/>
        <v/>
      </c>
    </row>
    <row r="3317" spans="9:10">
      <c r="I3317" s="62" t="str">
        <f t="shared" si="103"/>
        <v/>
      </c>
      <c r="J3317" s="63" t="str">
        <f t="shared" si="104"/>
        <v/>
      </c>
    </row>
    <row r="3318" spans="9:10">
      <c r="I3318" s="62" t="str">
        <f t="shared" si="103"/>
        <v/>
      </c>
      <c r="J3318" s="63" t="str">
        <f t="shared" si="104"/>
        <v/>
      </c>
    </row>
    <row r="3319" spans="9:10">
      <c r="I3319" s="62" t="str">
        <f t="shared" si="103"/>
        <v/>
      </c>
      <c r="J3319" s="63" t="str">
        <f t="shared" si="104"/>
        <v/>
      </c>
    </row>
    <row r="3320" spans="9:10">
      <c r="I3320" s="62" t="str">
        <f t="shared" si="103"/>
        <v/>
      </c>
      <c r="J3320" s="63" t="str">
        <f t="shared" si="104"/>
        <v/>
      </c>
    </row>
    <row r="3321" spans="9:10">
      <c r="I3321" s="62" t="str">
        <f t="shared" si="103"/>
        <v/>
      </c>
      <c r="J3321" s="63" t="str">
        <f t="shared" si="104"/>
        <v/>
      </c>
    </row>
    <row r="3322" spans="9:10">
      <c r="I3322" s="62" t="str">
        <f t="shared" si="103"/>
        <v/>
      </c>
      <c r="J3322" s="63" t="str">
        <f t="shared" si="104"/>
        <v/>
      </c>
    </row>
    <row r="3323" spans="9:10">
      <c r="I3323" s="62" t="str">
        <f t="shared" si="103"/>
        <v/>
      </c>
      <c r="J3323" s="63" t="str">
        <f t="shared" si="104"/>
        <v/>
      </c>
    </row>
    <row r="3324" spans="9:10">
      <c r="I3324" s="62" t="str">
        <f t="shared" si="103"/>
        <v/>
      </c>
      <c r="J3324" s="63" t="str">
        <f t="shared" si="104"/>
        <v/>
      </c>
    </row>
    <row r="3325" spans="9:10">
      <c r="I3325" s="62" t="str">
        <f t="shared" si="103"/>
        <v/>
      </c>
      <c r="J3325" s="63" t="str">
        <f t="shared" si="104"/>
        <v/>
      </c>
    </row>
    <row r="3326" spans="9:10">
      <c r="I3326" s="62" t="str">
        <f t="shared" si="103"/>
        <v/>
      </c>
      <c r="J3326" s="63" t="str">
        <f t="shared" si="104"/>
        <v/>
      </c>
    </row>
    <row r="3327" spans="9:10">
      <c r="I3327" s="62" t="str">
        <f t="shared" si="103"/>
        <v/>
      </c>
      <c r="J3327" s="63" t="str">
        <f t="shared" si="104"/>
        <v/>
      </c>
    </row>
    <row r="3328" spans="9:10">
      <c r="I3328" s="62" t="str">
        <f t="shared" si="103"/>
        <v/>
      </c>
      <c r="J3328" s="63" t="str">
        <f t="shared" si="104"/>
        <v/>
      </c>
    </row>
    <row r="3329" spans="9:10">
      <c r="I3329" s="62" t="str">
        <f t="shared" si="103"/>
        <v/>
      </c>
      <c r="J3329" s="63" t="str">
        <f t="shared" si="104"/>
        <v/>
      </c>
    </row>
    <row r="3330" spans="9:10">
      <c r="I3330" s="62" t="str">
        <f t="shared" si="103"/>
        <v/>
      </c>
      <c r="J3330" s="63" t="str">
        <f t="shared" si="104"/>
        <v/>
      </c>
    </row>
    <row r="3331" spans="9:10">
      <c r="I3331" s="62" t="str">
        <f t="shared" si="103"/>
        <v/>
      </c>
      <c r="J3331" s="63" t="str">
        <f t="shared" si="104"/>
        <v/>
      </c>
    </row>
    <row r="3332" spans="9:10">
      <c r="I3332" s="62" t="str">
        <f t="shared" si="103"/>
        <v/>
      </c>
      <c r="J3332" s="63" t="str">
        <f t="shared" si="104"/>
        <v/>
      </c>
    </row>
    <row r="3333" spans="9:10">
      <c r="I3333" s="62" t="str">
        <f t="shared" si="103"/>
        <v/>
      </c>
      <c r="J3333" s="63" t="str">
        <f t="shared" si="104"/>
        <v/>
      </c>
    </row>
    <row r="3334" spans="9:10">
      <c r="I3334" s="62" t="str">
        <f t="shared" si="103"/>
        <v/>
      </c>
      <c r="J3334" s="63" t="str">
        <f t="shared" si="104"/>
        <v/>
      </c>
    </row>
    <row r="3335" spans="9:10">
      <c r="I3335" s="62" t="str">
        <f t="shared" si="103"/>
        <v/>
      </c>
      <c r="J3335" s="63" t="str">
        <f t="shared" si="104"/>
        <v/>
      </c>
    </row>
    <row r="3336" spans="9:10">
      <c r="I3336" s="62" t="str">
        <f t="shared" si="103"/>
        <v/>
      </c>
      <c r="J3336" s="63" t="str">
        <f t="shared" si="104"/>
        <v/>
      </c>
    </row>
    <row r="3337" spans="9:10">
      <c r="I3337" s="62" t="str">
        <f t="shared" si="103"/>
        <v/>
      </c>
      <c r="J3337" s="63" t="str">
        <f t="shared" si="104"/>
        <v/>
      </c>
    </row>
    <row r="3338" spans="9:10">
      <c r="I3338" s="62" t="str">
        <f t="shared" si="103"/>
        <v/>
      </c>
      <c r="J3338" s="63" t="str">
        <f t="shared" si="104"/>
        <v/>
      </c>
    </row>
    <row r="3339" spans="9:10">
      <c r="I3339" s="62" t="str">
        <f t="shared" si="103"/>
        <v/>
      </c>
      <c r="J3339" s="63" t="str">
        <f t="shared" si="104"/>
        <v/>
      </c>
    </row>
    <row r="3340" spans="9:10">
      <c r="I3340" s="62" t="str">
        <f t="shared" ref="I3340:I3403" si="105">IF(B3340="","",IF(B3340="Total",I3338,IF(B3338="Total",I3338, IF(ISNUMBER(A3340),A3340,I3339))))</f>
        <v/>
      </c>
      <c r="J3340" s="63" t="str">
        <f t="shared" si="104"/>
        <v/>
      </c>
    </row>
    <row r="3341" spans="9:10">
      <c r="I3341" s="62" t="str">
        <f t="shared" si="105"/>
        <v/>
      </c>
      <c r="J3341" s="63" t="str">
        <f t="shared" si="104"/>
        <v/>
      </c>
    </row>
    <row r="3342" spans="9:10">
      <c r="I3342" s="62" t="str">
        <f t="shared" si="105"/>
        <v/>
      </c>
      <c r="J3342" s="63" t="str">
        <f t="shared" si="104"/>
        <v/>
      </c>
    </row>
    <row r="3343" spans="9:10">
      <c r="I3343" s="62" t="str">
        <f t="shared" si="105"/>
        <v/>
      </c>
      <c r="J3343" s="63" t="str">
        <f t="shared" ref="J3343:J3406" si="106">IF(B3343="","",IF(B3343="Total",J3341,IF(B3341="Total",J3341,IF(A3343="",J3342,IF(ISNUMBER(A3342),B3342,IF(ISNUMBER(A3343),B3343,J3342))))))</f>
        <v/>
      </c>
    </row>
    <row r="3344" spans="9:10">
      <c r="I3344" s="62" t="str">
        <f t="shared" si="105"/>
        <v/>
      </c>
      <c r="J3344" s="63" t="str">
        <f t="shared" si="106"/>
        <v/>
      </c>
    </row>
    <row r="3345" spans="9:10">
      <c r="I3345" s="62" t="str">
        <f t="shared" si="105"/>
        <v/>
      </c>
      <c r="J3345" s="63" t="str">
        <f t="shared" si="106"/>
        <v/>
      </c>
    </row>
    <row r="3346" spans="9:10">
      <c r="I3346" s="62" t="str">
        <f t="shared" si="105"/>
        <v/>
      </c>
      <c r="J3346" s="63" t="str">
        <f t="shared" si="106"/>
        <v/>
      </c>
    </row>
    <row r="3347" spans="9:10">
      <c r="I3347" s="62" t="str">
        <f t="shared" si="105"/>
        <v/>
      </c>
      <c r="J3347" s="63" t="str">
        <f t="shared" si="106"/>
        <v/>
      </c>
    </row>
    <row r="3348" spans="9:10">
      <c r="I3348" s="62" t="str">
        <f t="shared" si="105"/>
        <v/>
      </c>
      <c r="J3348" s="63" t="str">
        <f t="shared" si="106"/>
        <v/>
      </c>
    </row>
    <row r="3349" spans="9:10">
      <c r="I3349" s="62" t="str">
        <f t="shared" si="105"/>
        <v/>
      </c>
      <c r="J3349" s="63" t="str">
        <f t="shared" si="106"/>
        <v/>
      </c>
    </row>
    <row r="3350" spans="9:10">
      <c r="I3350" s="62" t="str">
        <f t="shared" si="105"/>
        <v/>
      </c>
      <c r="J3350" s="63" t="str">
        <f t="shared" si="106"/>
        <v/>
      </c>
    </row>
    <row r="3351" spans="9:10">
      <c r="I3351" s="62" t="str">
        <f t="shared" si="105"/>
        <v/>
      </c>
      <c r="J3351" s="63" t="str">
        <f t="shared" si="106"/>
        <v/>
      </c>
    </row>
    <row r="3352" spans="9:10">
      <c r="I3352" s="62" t="str">
        <f t="shared" si="105"/>
        <v/>
      </c>
      <c r="J3352" s="63" t="str">
        <f t="shared" si="106"/>
        <v/>
      </c>
    </row>
    <row r="3353" spans="9:10">
      <c r="I3353" s="62" t="str">
        <f t="shared" si="105"/>
        <v/>
      </c>
      <c r="J3353" s="63" t="str">
        <f t="shared" si="106"/>
        <v/>
      </c>
    </row>
    <row r="3354" spans="9:10">
      <c r="I3354" s="62" t="str">
        <f t="shared" si="105"/>
        <v/>
      </c>
      <c r="J3354" s="63" t="str">
        <f t="shared" si="106"/>
        <v/>
      </c>
    </row>
    <row r="3355" spans="9:10">
      <c r="I3355" s="62" t="str">
        <f t="shared" si="105"/>
        <v/>
      </c>
      <c r="J3355" s="63" t="str">
        <f t="shared" si="106"/>
        <v/>
      </c>
    </row>
    <row r="3356" spans="9:10">
      <c r="I3356" s="62" t="str">
        <f t="shared" si="105"/>
        <v/>
      </c>
      <c r="J3356" s="63" t="str">
        <f t="shared" si="106"/>
        <v/>
      </c>
    </row>
    <row r="3357" spans="9:10">
      <c r="I3357" s="62" t="str">
        <f t="shared" si="105"/>
        <v/>
      </c>
      <c r="J3357" s="63" t="str">
        <f t="shared" si="106"/>
        <v/>
      </c>
    </row>
    <row r="3358" spans="9:10">
      <c r="I3358" s="62" t="str">
        <f t="shared" si="105"/>
        <v/>
      </c>
      <c r="J3358" s="63" t="str">
        <f t="shared" si="106"/>
        <v/>
      </c>
    </row>
    <row r="3359" spans="9:10">
      <c r="I3359" s="62" t="str">
        <f t="shared" si="105"/>
        <v/>
      </c>
      <c r="J3359" s="63" t="str">
        <f t="shared" si="106"/>
        <v/>
      </c>
    </row>
    <row r="3360" spans="9:10">
      <c r="I3360" s="62" t="str">
        <f t="shared" si="105"/>
        <v/>
      </c>
      <c r="J3360" s="63" t="str">
        <f t="shared" si="106"/>
        <v/>
      </c>
    </row>
    <row r="3361" spans="9:10">
      <c r="I3361" s="62" t="str">
        <f t="shared" si="105"/>
        <v/>
      </c>
      <c r="J3361" s="63" t="str">
        <f t="shared" si="106"/>
        <v/>
      </c>
    </row>
    <row r="3362" spans="9:10">
      <c r="I3362" s="62" t="str">
        <f t="shared" si="105"/>
        <v/>
      </c>
      <c r="J3362" s="63" t="str">
        <f t="shared" si="106"/>
        <v/>
      </c>
    </row>
    <row r="3363" spans="9:10">
      <c r="I3363" s="62" t="str">
        <f t="shared" si="105"/>
        <v/>
      </c>
      <c r="J3363" s="63" t="str">
        <f t="shared" si="106"/>
        <v/>
      </c>
    </row>
    <row r="3364" spans="9:10">
      <c r="I3364" s="62" t="str">
        <f t="shared" si="105"/>
        <v/>
      </c>
      <c r="J3364" s="63" t="str">
        <f t="shared" si="106"/>
        <v/>
      </c>
    </row>
    <row r="3365" spans="9:10">
      <c r="I3365" s="62" t="str">
        <f t="shared" si="105"/>
        <v/>
      </c>
      <c r="J3365" s="63" t="str">
        <f t="shared" si="106"/>
        <v/>
      </c>
    </row>
    <row r="3366" spans="9:10">
      <c r="I3366" s="62" t="str">
        <f t="shared" si="105"/>
        <v/>
      </c>
      <c r="J3366" s="63" t="str">
        <f t="shared" si="106"/>
        <v/>
      </c>
    </row>
    <row r="3367" spans="9:10">
      <c r="I3367" s="62" t="str">
        <f t="shared" si="105"/>
        <v/>
      </c>
      <c r="J3367" s="63" t="str">
        <f t="shared" si="106"/>
        <v/>
      </c>
    </row>
    <row r="3368" spans="9:10">
      <c r="I3368" s="62" t="str">
        <f t="shared" si="105"/>
        <v/>
      </c>
      <c r="J3368" s="63" t="str">
        <f t="shared" si="106"/>
        <v/>
      </c>
    </row>
    <row r="3369" spans="9:10">
      <c r="I3369" s="62" t="str">
        <f t="shared" si="105"/>
        <v/>
      </c>
      <c r="J3369" s="63" t="str">
        <f t="shared" si="106"/>
        <v/>
      </c>
    </row>
    <row r="3370" spans="9:10">
      <c r="I3370" s="62" t="str">
        <f t="shared" si="105"/>
        <v/>
      </c>
      <c r="J3370" s="63" t="str">
        <f t="shared" si="106"/>
        <v/>
      </c>
    </row>
    <row r="3371" spans="9:10">
      <c r="I3371" s="62" t="str">
        <f t="shared" si="105"/>
        <v/>
      </c>
      <c r="J3371" s="63" t="str">
        <f t="shared" si="106"/>
        <v/>
      </c>
    </row>
    <row r="3372" spans="9:10">
      <c r="I3372" s="62" t="str">
        <f t="shared" si="105"/>
        <v/>
      </c>
      <c r="J3372" s="63" t="str">
        <f t="shared" si="106"/>
        <v/>
      </c>
    </row>
    <row r="3373" spans="9:10">
      <c r="I3373" s="62" t="str">
        <f t="shared" si="105"/>
        <v/>
      </c>
      <c r="J3373" s="63" t="str">
        <f t="shared" si="106"/>
        <v/>
      </c>
    </row>
    <row r="3374" spans="9:10">
      <c r="I3374" s="62" t="str">
        <f t="shared" si="105"/>
        <v/>
      </c>
      <c r="J3374" s="63" t="str">
        <f t="shared" si="106"/>
        <v/>
      </c>
    </row>
    <row r="3375" spans="9:10">
      <c r="I3375" s="62" t="str">
        <f t="shared" si="105"/>
        <v/>
      </c>
      <c r="J3375" s="63" t="str">
        <f t="shared" si="106"/>
        <v/>
      </c>
    </row>
    <row r="3376" spans="9:10">
      <c r="I3376" s="62" t="str">
        <f t="shared" si="105"/>
        <v/>
      </c>
      <c r="J3376" s="63" t="str">
        <f t="shared" si="106"/>
        <v/>
      </c>
    </row>
    <row r="3377" spans="9:10">
      <c r="I3377" s="62" t="str">
        <f t="shared" si="105"/>
        <v/>
      </c>
      <c r="J3377" s="63" t="str">
        <f t="shared" si="106"/>
        <v/>
      </c>
    </row>
    <row r="3378" spans="9:10">
      <c r="I3378" s="62" t="str">
        <f t="shared" si="105"/>
        <v/>
      </c>
      <c r="J3378" s="63" t="str">
        <f t="shared" si="106"/>
        <v/>
      </c>
    </row>
    <row r="3379" spans="9:10">
      <c r="I3379" s="62" t="str">
        <f t="shared" si="105"/>
        <v/>
      </c>
      <c r="J3379" s="63" t="str">
        <f t="shared" si="106"/>
        <v/>
      </c>
    </row>
    <row r="3380" spans="9:10">
      <c r="I3380" s="62" t="str">
        <f t="shared" si="105"/>
        <v/>
      </c>
      <c r="J3380" s="63" t="str">
        <f t="shared" si="106"/>
        <v/>
      </c>
    </row>
    <row r="3381" spans="9:10">
      <c r="I3381" s="62" t="str">
        <f t="shared" si="105"/>
        <v/>
      </c>
      <c r="J3381" s="63" t="str">
        <f t="shared" si="106"/>
        <v/>
      </c>
    </row>
    <row r="3382" spans="9:10">
      <c r="I3382" s="62" t="str">
        <f t="shared" si="105"/>
        <v/>
      </c>
      <c r="J3382" s="63" t="str">
        <f t="shared" si="106"/>
        <v/>
      </c>
    </row>
    <row r="3383" spans="9:10">
      <c r="I3383" s="62" t="str">
        <f t="shared" si="105"/>
        <v/>
      </c>
      <c r="J3383" s="63" t="str">
        <f t="shared" si="106"/>
        <v/>
      </c>
    </row>
    <row r="3384" spans="9:10">
      <c r="I3384" s="62" t="str">
        <f t="shared" si="105"/>
        <v/>
      </c>
      <c r="J3384" s="63" t="str">
        <f t="shared" si="106"/>
        <v/>
      </c>
    </row>
    <row r="3385" spans="9:10">
      <c r="I3385" s="62" t="str">
        <f t="shared" si="105"/>
        <v/>
      </c>
      <c r="J3385" s="63" t="str">
        <f t="shared" si="106"/>
        <v/>
      </c>
    </row>
    <row r="3386" spans="9:10">
      <c r="I3386" s="62" t="str">
        <f t="shared" si="105"/>
        <v/>
      </c>
      <c r="J3386" s="63" t="str">
        <f t="shared" si="106"/>
        <v/>
      </c>
    </row>
    <row r="3387" spans="9:10">
      <c r="I3387" s="62" t="str">
        <f t="shared" si="105"/>
        <v/>
      </c>
      <c r="J3387" s="63" t="str">
        <f t="shared" si="106"/>
        <v/>
      </c>
    </row>
    <row r="3388" spans="9:10">
      <c r="I3388" s="62" t="str">
        <f t="shared" si="105"/>
        <v/>
      </c>
      <c r="J3388" s="63" t="str">
        <f t="shared" si="106"/>
        <v/>
      </c>
    </row>
    <row r="3389" spans="9:10">
      <c r="I3389" s="62" t="str">
        <f t="shared" si="105"/>
        <v/>
      </c>
      <c r="J3389" s="63" t="str">
        <f t="shared" si="106"/>
        <v/>
      </c>
    </row>
    <row r="3390" spans="9:10">
      <c r="I3390" s="62" t="str">
        <f t="shared" si="105"/>
        <v/>
      </c>
      <c r="J3390" s="63" t="str">
        <f t="shared" si="106"/>
        <v/>
      </c>
    </row>
    <row r="3391" spans="9:10">
      <c r="I3391" s="62" t="str">
        <f t="shared" si="105"/>
        <v/>
      </c>
      <c r="J3391" s="63" t="str">
        <f t="shared" si="106"/>
        <v/>
      </c>
    </row>
    <row r="3392" spans="9:10">
      <c r="I3392" s="62" t="str">
        <f t="shared" si="105"/>
        <v/>
      </c>
      <c r="J3392" s="63" t="str">
        <f t="shared" si="106"/>
        <v/>
      </c>
    </row>
    <row r="3393" spans="9:10">
      <c r="I3393" s="62" t="str">
        <f t="shared" si="105"/>
        <v/>
      </c>
      <c r="J3393" s="63" t="str">
        <f t="shared" si="106"/>
        <v/>
      </c>
    </row>
    <row r="3394" spans="9:10">
      <c r="I3394" s="62" t="str">
        <f t="shared" si="105"/>
        <v/>
      </c>
      <c r="J3394" s="63" t="str">
        <f t="shared" si="106"/>
        <v/>
      </c>
    </row>
    <row r="3395" spans="9:10">
      <c r="I3395" s="62" t="str">
        <f t="shared" si="105"/>
        <v/>
      </c>
      <c r="J3395" s="63" t="str">
        <f t="shared" si="106"/>
        <v/>
      </c>
    </row>
    <row r="3396" spans="9:10">
      <c r="I3396" s="62" t="str">
        <f t="shared" si="105"/>
        <v/>
      </c>
      <c r="J3396" s="63" t="str">
        <f t="shared" si="106"/>
        <v/>
      </c>
    </row>
    <row r="3397" spans="9:10">
      <c r="I3397" s="62" t="str">
        <f t="shared" si="105"/>
        <v/>
      </c>
      <c r="J3397" s="63" t="str">
        <f t="shared" si="106"/>
        <v/>
      </c>
    </row>
    <row r="3398" spans="9:10">
      <c r="I3398" s="62" t="str">
        <f t="shared" si="105"/>
        <v/>
      </c>
      <c r="J3398" s="63" t="str">
        <f t="shared" si="106"/>
        <v/>
      </c>
    </row>
    <row r="3399" spans="9:10">
      <c r="I3399" s="62" t="str">
        <f t="shared" si="105"/>
        <v/>
      </c>
      <c r="J3399" s="63" t="str">
        <f t="shared" si="106"/>
        <v/>
      </c>
    </row>
    <row r="3400" spans="9:10">
      <c r="I3400" s="62" t="str">
        <f t="shared" si="105"/>
        <v/>
      </c>
      <c r="J3400" s="63" t="str">
        <f t="shared" si="106"/>
        <v/>
      </c>
    </row>
    <row r="3401" spans="9:10">
      <c r="I3401" s="62" t="str">
        <f t="shared" si="105"/>
        <v/>
      </c>
      <c r="J3401" s="63" t="str">
        <f t="shared" si="106"/>
        <v/>
      </c>
    </row>
    <row r="3402" spans="9:10">
      <c r="I3402" s="62" t="str">
        <f t="shared" si="105"/>
        <v/>
      </c>
      <c r="J3402" s="63" t="str">
        <f t="shared" si="106"/>
        <v/>
      </c>
    </row>
    <row r="3403" spans="9:10">
      <c r="I3403" s="62" t="str">
        <f t="shared" si="105"/>
        <v/>
      </c>
      <c r="J3403" s="63" t="str">
        <f t="shared" si="106"/>
        <v/>
      </c>
    </row>
    <row r="3404" spans="9:10">
      <c r="I3404" s="62" t="str">
        <f t="shared" ref="I3404:I3467" si="107">IF(B3404="","",IF(B3404="Total",I3402,IF(B3402="Total",I3402, IF(ISNUMBER(A3404),A3404,I3403))))</f>
        <v/>
      </c>
      <c r="J3404" s="63" t="str">
        <f t="shared" si="106"/>
        <v/>
      </c>
    </row>
    <row r="3405" spans="9:10">
      <c r="I3405" s="62" t="str">
        <f t="shared" si="107"/>
        <v/>
      </c>
      <c r="J3405" s="63" t="str">
        <f t="shared" si="106"/>
        <v/>
      </c>
    </row>
    <row r="3406" spans="9:10">
      <c r="I3406" s="62" t="str">
        <f t="shared" si="107"/>
        <v/>
      </c>
      <c r="J3406" s="63" t="str">
        <f t="shared" si="106"/>
        <v/>
      </c>
    </row>
    <row r="3407" spans="9:10">
      <c r="I3407" s="62" t="str">
        <f t="shared" si="107"/>
        <v/>
      </c>
      <c r="J3407" s="63" t="str">
        <f t="shared" ref="J3407:J3470" si="108">IF(B3407="","",IF(B3407="Total",J3405,IF(B3405="Total",J3405,IF(A3407="",J3406,IF(ISNUMBER(A3406),B3406,IF(ISNUMBER(A3407),B3407,J3406))))))</f>
        <v/>
      </c>
    </row>
    <row r="3408" spans="9:10">
      <c r="I3408" s="62" t="str">
        <f t="shared" si="107"/>
        <v/>
      </c>
      <c r="J3408" s="63" t="str">
        <f t="shared" si="108"/>
        <v/>
      </c>
    </row>
    <row r="3409" spans="9:10">
      <c r="I3409" s="62" t="str">
        <f t="shared" si="107"/>
        <v/>
      </c>
      <c r="J3409" s="63" t="str">
        <f t="shared" si="108"/>
        <v/>
      </c>
    </row>
    <row r="3410" spans="9:10">
      <c r="I3410" s="62" t="str">
        <f t="shared" si="107"/>
        <v/>
      </c>
      <c r="J3410" s="63" t="str">
        <f t="shared" si="108"/>
        <v/>
      </c>
    </row>
    <row r="3411" spans="9:10">
      <c r="I3411" s="62" t="str">
        <f t="shared" si="107"/>
        <v/>
      </c>
      <c r="J3411" s="63" t="str">
        <f t="shared" si="108"/>
        <v/>
      </c>
    </row>
    <row r="3412" spans="9:10">
      <c r="I3412" s="62" t="str">
        <f t="shared" si="107"/>
        <v/>
      </c>
      <c r="J3412" s="63" t="str">
        <f t="shared" si="108"/>
        <v/>
      </c>
    </row>
    <row r="3413" spans="9:10">
      <c r="I3413" s="62" t="str">
        <f t="shared" si="107"/>
        <v/>
      </c>
      <c r="J3413" s="63" t="str">
        <f t="shared" si="108"/>
        <v/>
      </c>
    </row>
    <row r="3414" spans="9:10">
      <c r="I3414" s="62" t="str">
        <f t="shared" si="107"/>
        <v/>
      </c>
      <c r="J3414" s="63" t="str">
        <f t="shared" si="108"/>
        <v/>
      </c>
    </row>
    <row r="3415" spans="9:10">
      <c r="I3415" s="62" t="str">
        <f t="shared" si="107"/>
        <v/>
      </c>
      <c r="J3415" s="63" t="str">
        <f t="shared" si="108"/>
        <v/>
      </c>
    </row>
    <row r="3416" spans="9:10">
      <c r="I3416" s="62" t="str">
        <f t="shared" si="107"/>
        <v/>
      </c>
      <c r="J3416" s="63" t="str">
        <f t="shared" si="108"/>
        <v/>
      </c>
    </row>
    <row r="3417" spans="9:10">
      <c r="I3417" s="62" t="str">
        <f t="shared" si="107"/>
        <v/>
      </c>
      <c r="J3417" s="63" t="str">
        <f t="shared" si="108"/>
        <v/>
      </c>
    </row>
    <row r="3418" spans="9:10">
      <c r="I3418" s="62" t="str">
        <f t="shared" si="107"/>
        <v/>
      </c>
      <c r="J3418" s="63" t="str">
        <f t="shared" si="108"/>
        <v/>
      </c>
    </row>
    <row r="3419" spans="9:10">
      <c r="I3419" s="62" t="str">
        <f t="shared" si="107"/>
        <v/>
      </c>
      <c r="J3419" s="63" t="str">
        <f t="shared" si="108"/>
        <v/>
      </c>
    </row>
    <row r="3420" spans="9:10">
      <c r="I3420" s="62" t="str">
        <f t="shared" si="107"/>
        <v/>
      </c>
      <c r="J3420" s="63" t="str">
        <f t="shared" si="108"/>
        <v/>
      </c>
    </row>
    <row r="3421" spans="9:10">
      <c r="I3421" s="62" t="str">
        <f t="shared" si="107"/>
        <v/>
      </c>
      <c r="J3421" s="63" t="str">
        <f t="shared" si="108"/>
        <v/>
      </c>
    </row>
    <row r="3422" spans="9:10">
      <c r="I3422" s="62" t="str">
        <f t="shared" si="107"/>
        <v/>
      </c>
      <c r="J3422" s="63" t="str">
        <f t="shared" si="108"/>
        <v/>
      </c>
    </row>
    <row r="3423" spans="9:10">
      <c r="I3423" s="62" t="str">
        <f t="shared" si="107"/>
        <v/>
      </c>
      <c r="J3423" s="63" t="str">
        <f t="shared" si="108"/>
        <v/>
      </c>
    </row>
    <row r="3424" spans="9:10">
      <c r="I3424" s="62" t="str">
        <f t="shared" si="107"/>
        <v/>
      </c>
      <c r="J3424" s="63" t="str">
        <f t="shared" si="108"/>
        <v/>
      </c>
    </row>
    <row r="3425" spans="9:10">
      <c r="I3425" s="62" t="str">
        <f t="shared" si="107"/>
        <v/>
      </c>
      <c r="J3425" s="63" t="str">
        <f t="shared" si="108"/>
        <v/>
      </c>
    </row>
    <row r="3426" spans="9:10">
      <c r="I3426" s="62" t="str">
        <f t="shared" si="107"/>
        <v/>
      </c>
      <c r="J3426" s="63" t="str">
        <f t="shared" si="108"/>
        <v/>
      </c>
    </row>
    <row r="3427" spans="9:10">
      <c r="I3427" s="62" t="str">
        <f t="shared" si="107"/>
        <v/>
      </c>
      <c r="J3427" s="63" t="str">
        <f t="shared" si="108"/>
        <v/>
      </c>
    </row>
    <row r="3428" spans="9:10">
      <c r="I3428" s="62" t="str">
        <f t="shared" si="107"/>
        <v/>
      </c>
      <c r="J3428" s="63" t="str">
        <f t="shared" si="108"/>
        <v/>
      </c>
    </row>
    <row r="3429" spans="9:10">
      <c r="I3429" s="62" t="str">
        <f t="shared" si="107"/>
        <v/>
      </c>
      <c r="J3429" s="63" t="str">
        <f t="shared" si="108"/>
        <v/>
      </c>
    </row>
    <row r="3430" spans="9:10">
      <c r="I3430" s="62" t="str">
        <f t="shared" si="107"/>
        <v/>
      </c>
      <c r="J3430" s="63" t="str">
        <f t="shared" si="108"/>
        <v/>
      </c>
    </row>
    <row r="3431" spans="9:10">
      <c r="I3431" s="62" t="str">
        <f t="shared" si="107"/>
        <v/>
      </c>
      <c r="J3431" s="63" t="str">
        <f t="shared" si="108"/>
        <v/>
      </c>
    </row>
    <row r="3432" spans="9:10">
      <c r="I3432" s="62" t="str">
        <f t="shared" si="107"/>
        <v/>
      </c>
      <c r="J3432" s="63" t="str">
        <f t="shared" si="108"/>
        <v/>
      </c>
    </row>
    <row r="3433" spans="9:10">
      <c r="I3433" s="62" t="str">
        <f t="shared" si="107"/>
        <v/>
      </c>
      <c r="J3433" s="63" t="str">
        <f t="shared" si="108"/>
        <v/>
      </c>
    </row>
    <row r="3434" spans="9:10">
      <c r="I3434" s="62" t="str">
        <f t="shared" si="107"/>
        <v/>
      </c>
      <c r="J3434" s="63" t="str">
        <f t="shared" si="108"/>
        <v/>
      </c>
    </row>
    <row r="3435" spans="9:10">
      <c r="I3435" s="62" t="str">
        <f t="shared" si="107"/>
        <v/>
      </c>
      <c r="J3435" s="63" t="str">
        <f t="shared" si="108"/>
        <v/>
      </c>
    </row>
    <row r="3436" spans="9:10">
      <c r="I3436" s="62" t="str">
        <f t="shared" si="107"/>
        <v/>
      </c>
      <c r="J3436" s="63" t="str">
        <f t="shared" si="108"/>
        <v/>
      </c>
    </row>
    <row r="3437" spans="9:10">
      <c r="I3437" s="62" t="str">
        <f t="shared" si="107"/>
        <v/>
      </c>
      <c r="J3437" s="63" t="str">
        <f t="shared" si="108"/>
        <v/>
      </c>
    </row>
    <row r="3438" spans="9:10">
      <c r="I3438" s="62" t="str">
        <f t="shared" si="107"/>
        <v/>
      </c>
      <c r="J3438" s="63" t="str">
        <f t="shared" si="108"/>
        <v/>
      </c>
    </row>
    <row r="3439" spans="9:10">
      <c r="I3439" s="62" t="str">
        <f t="shared" si="107"/>
        <v/>
      </c>
      <c r="J3439" s="63" t="str">
        <f t="shared" si="108"/>
        <v/>
      </c>
    </row>
    <row r="3440" spans="9:10">
      <c r="I3440" s="62" t="str">
        <f t="shared" si="107"/>
        <v/>
      </c>
      <c r="J3440" s="63" t="str">
        <f t="shared" si="108"/>
        <v/>
      </c>
    </row>
    <row r="3441" spans="9:10">
      <c r="I3441" s="62" t="str">
        <f t="shared" si="107"/>
        <v/>
      </c>
      <c r="J3441" s="63" t="str">
        <f t="shared" si="108"/>
        <v/>
      </c>
    </row>
    <row r="3442" spans="9:10">
      <c r="I3442" s="62" t="str">
        <f t="shared" si="107"/>
        <v/>
      </c>
      <c r="J3442" s="63" t="str">
        <f t="shared" si="108"/>
        <v/>
      </c>
    </row>
    <row r="3443" spans="9:10">
      <c r="I3443" s="62" t="str">
        <f t="shared" si="107"/>
        <v/>
      </c>
      <c r="J3443" s="63" t="str">
        <f t="shared" si="108"/>
        <v/>
      </c>
    </row>
    <row r="3444" spans="9:10">
      <c r="I3444" s="62" t="str">
        <f t="shared" si="107"/>
        <v/>
      </c>
      <c r="J3444" s="63" t="str">
        <f t="shared" si="108"/>
        <v/>
      </c>
    </row>
    <row r="3445" spans="9:10">
      <c r="I3445" s="62" t="str">
        <f t="shared" si="107"/>
        <v/>
      </c>
      <c r="J3445" s="63" t="str">
        <f t="shared" si="108"/>
        <v/>
      </c>
    </row>
    <row r="3446" spans="9:10">
      <c r="I3446" s="62" t="str">
        <f t="shared" si="107"/>
        <v/>
      </c>
      <c r="J3446" s="63" t="str">
        <f t="shared" si="108"/>
        <v/>
      </c>
    </row>
    <row r="3447" spans="9:10">
      <c r="I3447" s="62" t="str">
        <f t="shared" si="107"/>
        <v/>
      </c>
      <c r="J3447" s="63" t="str">
        <f t="shared" si="108"/>
        <v/>
      </c>
    </row>
    <row r="3448" spans="9:10">
      <c r="I3448" s="62" t="str">
        <f t="shared" si="107"/>
        <v/>
      </c>
      <c r="J3448" s="63" t="str">
        <f t="shared" si="108"/>
        <v/>
      </c>
    </row>
    <row r="3449" spans="9:10">
      <c r="I3449" s="62" t="str">
        <f t="shared" si="107"/>
        <v/>
      </c>
      <c r="J3449" s="63" t="str">
        <f t="shared" si="108"/>
        <v/>
      </c>
    </row>
    <row r="3450" spans="9:10">
      <c r="I3450" s="62" t="str">
        <f t="shared" si="107"/>
        <v/>
      </c>
      <c r="J3450" s="63" t="str">
        <f t="shared" si="108"/>
        <v/>
      </c>
    </row>
    <row r="3451" spans="9:10">
      <c r="I3451" s="62" t="str">
        <f t="shared" si="107"/>
        <v/>
      </c>
      <c r="J3451" s="63" t="str">
        <f t="shared" si="108"/>
        <v/>
      </c>
    </row>
    <row r="3452" spans="9:10">
      <c r="I3452" s="62" t="str">
        <f t="shared" si="107"/>
        <v/>
      </c>
      <c r="J3452" s="63" t="str">
        <f t="shared" si="108"/>
        <v/>
      </c>
    </row>
    <row r="3453" spans="9:10">
      <c r="I3453" s="62" t="str">
        <f t="shared" si="107"/>
        <v/>
      </c>
      <c r="J3453" s="63" t="str">
        <f t="shared" si="108"/>
        <v/>
      </c>
    </row>
    <row r="3454" spans="9:10">
      <c r="I3454" s="62" t="str">
        <f t="shared" si="107"/>
        <v/>
      </c>
      <c r="J3454" s="63" t="str">
        <f t="shared" si="108"/>
        <v/>
      </c>
    </row>
    <row r="3455" spans="9:10">
      <c r="I3455" s="62" t="str">
        <f t="shared" si="107"/>
        <v/>
      </c>
      <c r="J3455" s="63" t="str">
        <f t="shared" si="108"/>
        <v/>
      </c>
    </row>
    <row r="3456" spans="9:10">
      <c r="I3456" s="62" t="str">
        <f t="shared" si="107"/>
        <v/>
      </c>
      <c r="J3456" s="63" t="str">
        <f t="shared" si="108"/>
        <v/>
      </c>
    </row>
    <row r="3457" spans="9:10">
      <c r="I3457" s="62" t="str">
        <f t="shared" si="107"/>
        <v/>
      </c>
      <c r="J3457" s="63" t="str">
        <f t="shared" si="108"/>
        <v/>
      </c>
    </row>
    <row r="3458" spans="9:10">
      <c r="I3458" s="62" t="str">
        <f t="shared" si="107"/>
        <v/>
      </c>
      <c r="J3458" s="63" t="str">
        <f t="shared" si="108"/>
        <v/>
      </c>
    </row>
    <row r="3459" spans="9:10">
      <c r="I3459" s="62" t="str">
        <f t="shared" si="107"/>
        <v/>
      </c>
      <c r="J3459" s="63" t="str">
        <f t="shared" si="108"/>
        <v/>
      </c>
    </row>
    <row r="3460" spans="9:10">
      <c r="I3460" s="62" t="str">
        <f t="shared" si="107"/>
        <v/>
      </c>
      <c r="J3460" s="63" t="str">
        <f t="shared" si="108"/>
        <v/>
      </c>
    </row>
    <row r="3461" spans="9:10">
      <c r="I3461" s="62" t="str">
        <f t="shared" si="107"/>
        <v/>
      </c>
      <c r="J3461" s="63" t="str">
        <f t="shared" si="108"/>
        <v/>
      </c>
    </row>
    <row r="3462" spans="9:10">
      <c r="I3462" s="62" t="str">
        <f t="shared" si="107"/>
        <v/>
      </c>
      <c r="J3462" s="63" t="str">
        <f t="shared" si="108"/>
        <v/>
      </c>
    </row>
    <row r="3463" spans="9:10">
      <c r="I3463" s="62" t="str">
        <f t="shared" si="107"/>
        <v/>
      </c>
      <c r="J3463" s="63" t="str">
        <f t="shared" si="108"/>
        <v/>
      </c>
    </row>
    <row r="3464" spans="9:10">
      <c r="I3464" s="62" t="str">
        <f t="shared" si="107"/>
        <v/>
      </c>
      <c r="J3464" s="63" t="str">
        <f t="shared" si="108"/>
        <v/>
      </c>
    </row>
    <row r="3465" spans="9:10">
      <c r="I3465" s="62" t="str">
        <f t="shared" si="107"/>
        <v/>
      </c>
      <c r="J3465" s="63" t="str">
        <f t="shared" si="108"/>
        <v/>
      </c>
    </row>
    <row r="3466" spans="9:10">
      <c r="I3466" s="62" t="str">
        <f t="shared" si="107"/>
        <v/>
      </c>
      <c r="J3466" s="63" t="str">
        <f t="shared" si="108"/>
        <v/>
      </c>
    </row>
    <row r="3467" spans="9:10">
      <c r="I3467" s="62" t="str">
        <f t="shared" si="107"/>
        <v/>
      </c>
      <c r="J3467" s="63" t="str">
        <f t="shared" si="108"/>
        <v/>
      </c>
    </row>
    <row r="3468" spans="9:10">
      <c r="I3468" s="62" t="str">
        <f t="shared" ref="I3468:I3531" si="109">IF(B3468="","",IF(B3468="Total",I3466,IF(B3466="Total",I3466, IF(ISNUMBER(A3468),A3468,I3467))))</f>
        <v/>
      </c>
      <c r="J3468" s="63" t="str">
        <f t="shared" si="108"/>
        <v/>
      </c>
    </row>
    <row r="3469" spans="9:10">
      <c r="I3469" s="62" t="str">
        <f t="shared" si="109"/>
        <v/>
      </c>
      <c r="J3469" s="63" t="str">
        <f t="shared" si="108"/>
        <v/>
      </c>
    </row>
    <row r="3470" spans="9:10">
      <c r="I3470" s="62" t="str">
        <f t="shared" si="109"/>
        <v/>
      </c>
      <c r="J3470" s="63" t="str">
        <f t="shared" si="108"/>
        <v/>
      </c>
    </row>
    <row r="3471" spans="9:10">
      <c r="I3471" s="62" t="str">
        <f t="shared" si="109"/>
        <v/>
      </c>
      <c r="J3471" s="63" t="str">
        <f t="shared" ref="J3471:J3534" si="110">IF(B3471="","",IF(B3471="Total",J3469,IF(B3469="Total",J3469,IF(A3471="",J3470,IF(ISNUMBER(A3470),B3470,IF(ISNUMBER(A3471),B3471,J3470))))))</f>
        <v/>
      </c>
    </row>
    <row r="3472" spans="9:10">
      <c r="I3472" s="62" t="str">
        <f t="shared" si="109"/>
        <v/>
      </c>
      <c r="J3472" s="63" t="str">
        <f t="shared" si="110"/>
        <v/>
      </c>
    </row>
    <row r="3473" spans="9:10">
      <c r="I3473" s="62" t="str">
        <f t="shared" si="109"/>
        <v/>
      </c>
      <c r="J3473" s="63" t="str">
        <f t="shared" si="110"/>
        <v/>
      </c>
    </row>
    <row r="3474" spans="9:10">
      <c r="I3474" s="62" t="str">
        <f t="shared" si="109"/>
        <v/>
      </c>
      <c r="J3474" s="63" t="str">
        <f t="shared" si="110"/>
        <v/>
      </c>
    </row>
    <row r="3475" spans="9:10">
      <c r="I3475" s="62" t="str">
        <f t="shared" si="109"/>
        <v/>
      </c>
      <c r="J3475" s="63" t="str">
        <f t="shared" si="110"/>
        <v/>
      </c>
    </row>
    <row r="3476" spans="9:10">
      <c r="I3476" s="62" t="str">
        <f t="shared" si="109"/>
        <v/>
      </c>
      <c r="J3476" s="63" t="str">
        <f t="shared" si="110"/>
        <v/>
      </c>
    </row>
    <row r="3477" spans="9:10">
      <c r="I3477" s="62" t="str">
        <f t="shared" si="109"/>
        <v/>
      </c>
      <c r="J3477" s="63" t="str">
        <f t="shared" si="110"/>
        <v/>
      </c>
    </row>
    <row r="3478" spans="9:10">
      <c r="I3478" s="62" t="str">
        <f t="shared" si="109"/>
        <v/>
      </c>
      <c r="J3478" s="63" t="str">
        <f t="shared" si="110"/>
        <v/>
      </c>
    </row>
    <row r="3479" spans="9:10">
      <c r="I3479" s="62" t="str">
        <f t="shared" si="109"/>
        <v/>
      </c>
      <c r="J3479" s="63" t="str">
        <f t="shared" si="110"/>
        <v/>
      </c>
    </row>
    <row r="3480" spans="9:10">
      <c r="I3480" s="62" t="str">
        <f t="shared" si="109"/>
        <v/>
      </c>
      <c r="J3480" s="63" t="str">
        <f t="shared" si="110"/>
        <v/>
      </c>
    </row>
    <row r="3481" spans="9:10">
      <c r="I3481" s="62" t="str">
        <f t="shared" si="109"/>
        <v/>
      </c>
      <c r="J3481" s="63" t="str">
        <f t="shared" si="110"/>
        <v/>
      </c>
    </row>
    <row r="3482" spans="9:10">
      <c r="I3482" s="62" t="str">
        <f t="shared" si="109"/>
        <v/>
      </c>
      <c r="J3482" s="63" t="str">
        <f t="shared" si="110"/>
        <v/>
      </c>
    </row>
    <row r="3483" spans="9:10">
      <c r="I3483" s="62" t="str">
        <f t="shared" si="109"/>
        <v/>
      </c>
      <c r="J3483" s="63" t="str">
        <f t="shared" si="110"/>
        <v/>
      </c>
    </row>
    <row r="3484" spans="9:10">
      <c r="I3484" s="62" t="str">
        <f t="shared" si="109"/>
        <v/>
      </c>
      <c r="J3484" s="63" t="str">
        <f t="shared" si="110"/>
        <v/>
      </c>
    </row>
    <row r="3485" spans="9:10">
      <c r="I3485" s="62" t="str">
        <f t="shared" si="109"/>
        <v/>
      </c>
      <c r="J3485" s="63" t="str">
        <f t="shared" si="110"/>
        <v/>
      </c>
    </row>
    <row r="3486" spans="9:10">
      <c r="I3486" s="62" t="str">
        <f t="shared" si="109"/>
        <v/>
      </c>
      <c r="J3486" s="63" t="str">
        <f t="shared" si="110"/>
        <v/>
      </c>
    </row>
    <row r="3487" spans="9:10">
      <c r="I3487" s="62" t="str">
        <f t="shared" si="109"/>
        <v/>
      </c>
      <c r="J3487" s="63" t="str">
        <f t="shared" si="110"/>
        <v/>
      </c>
    </row>
    <row r="3488" spans="9:10">
      <c r="I3488" s="62" t="str">
        <f t="shared" si="109"/>
        <v/>
      </c>
      <c r="J3488" s="63" t="str">
        <f t="shared" si="110"/>
        <v/>
      </c>
    </row>
    <row r="3489" spans="9:10">
      <c r="I3489" s="62" t="str">
        <f t="shared" si="109"/>
        <v/>
      </c>
      <c r="J3489" s="63" t="str">
        <f t="shared" si="110"/>
        <v/>
      </c>
    </row>
    <row r="3490" spans="9:10">
      <c r="I3490" s="62" t="str">
        <f t="shared" si="109"/>
        <v/>
      </c>
      <c r="J3490" s="63" t="str">
        <f t="shared" si="110"/>
        <v/>
      </c>
    </row>
    <row r="3491" spans="9:10">
      <c r="I3491" s="62" t="str">
        <f t="shared" si="109"/>
        <v/>
      </c>
      <c r="J3491" s="63" t="str">
        <f t="shared" si="110"/>
        <v/>
      </c>
    </row>
    <row r="3492" spans="9:10">
      <c r="I3492" s="62" t="str">
        <f t="shared" si="109"/>
        <v/>
      </c>
      <c r="J3492" s="63" t="str">
        <f t="shared" si="110"/>
        <v/>
      </c>
    </row>
    <row r="3493" spans="9:10">
      <c r="I3493" s="62" t="str">
        <f t="shared" si="109"/>
        <v/>
      </c>
      <c r="J3493" s="63" t="str">
        <f t="shared" si="110"/>
        <v/>
      </c>
    </row>
    <row r="3494" spans="9:10">
      <c r="I3494" s="62" t="str">
        <f t="shared" si="109"/>
        <v/>
      </c>
      <c r="J3494" s="63" t="str">
        <f t="shared" si="110"/>
        <v/>
      </c>
    </row>
    <row r="3495" spans="9:10">
      <c r="I3495" s="62" t="str">
        <f t="shared" si="109"/>
        <v/>
      </c>
      <c r="J3495" s="63" t="str">
        <f t="shared" si="110"/>
        <v/>
      </c>
    </row>
    <row r="3496" spans="9:10">
      <c r="I3496" s="62" t="str">
        <f t="shared" si="109"/>
        <v/>
      </c>
      <c r="J3496" s="63" t="str">
        <f t="shared" si="110"/>
        <v/>
      </c>
    </row>
    <row r="3497" spans="9:10">
      <c r="I3497" s="62" t="str">
        <f t="shared" si="109"/>
        <v/>
      </c>
      <c r="J3497" s="63" t="str">
        <f t="shared" si="110"/>
        <v/>
      </c>
    </row>
    <row r="3498" spans="9:10">
      <c r="I3498" s="62" t="str">
        <f t="shared" si="109"/>
        <v/>
      </c>
      <c r="J3498" s="63" t="str">
        <f t="shared" si="110"/>
        <v/>
      </c>
    </row>
    <row r="3499" spans="9:10">
      <c r="I3499" s="62" t="str">
        <f t="shared" si="109"/>
        <v/>
      </c>
      <c r="J3499" s="63" t="str">
        <f t="shared" si="110"/>
        <v/>
      </c>
    </row>
    <row r="3500" spans="9:10">
      <c r="I3500" s="62" t="str">
        <f t="shared" si="109"/>
        <v/>
      </c>
      <c r="J3500" s="63" t="str">
        <f t="shared" si="110"/>
        <v/>
      </c>
    </row>
    <row r="3501" spans="9:10">
      <c r="I3501" s="62" t="str">
        <f t="shared" si="109"/>
        <v/>
      </c>
      <c r="J3501" s="63" t="str">
        <f t="shared" si="110"/>
        <v/>
      </c>
    </row>
    <row r="3502" spans="9:10">
      <c r="I3502" s="62" t="str">
        <f t="shared" si="109"/>
        <v/>
      </c>
      <c r="J3502" s="63" t="str">
        <f t="shared" si="110"/>
        <v/>
      </c>
    </row>
    <row r="3503" spans="9:10">
      <c r="I3503" s="62" t="str">
        <f t="shared" si="109"/>
        <v/>
      </c>
      <c r="J3503" s="63" t="str">
        <f t="shared" si="110"/>
        <v/>
      </c>
    </row>
    <row r="3504" spans="9:10">
      <c r="I3504" s="62" t="str">
        <f t="shared" si="109"/>
        <v/>
      </c>
      <c r="J3504" s="63" t="str">
        <f t="shared" si="110"/>
        <v/>
      </c>
    </row>
    <row r="3505" spans="9:10">
      <c r="I3505" s="62" t="str">
        <f t="shared" si="109"/>
        <v/>
      </c>
      <c r="J3505" s="63" t="str">
        <f t="shared" si="110"/>
        <v/>
      </c>
    </row>
    <row r="3506" spans="9:10">
      <c r="I3506" s="62" t="str">
        <f t="shared" si="109"/>
        <v/>
      </c>
      <c r="J3506" s="63" t="str">
        <f t="shared" si="110"/>
        <v/>
      </c>
    </row>
    <row r="3507" spans="9:10">
      <c r="I3507" s="62" t="str">
        <f t="shared" si="109"/>
        <v/>
      </c>
      <c r="J3507" s="63" t="str">
        <f t="shared" si="110"/>
        <v/>
      </c>
    </row>
    <row r="3508" spans="9:10">
      <c r="I3508" s="62" t="str">
        <f t="shared" si="109"/>
        <v/>
      </c>
      <c r="J3508" s="63" t="str">
        <f t="shared" si="110"/>
        <v/>
      </c>
    </row>
    <row r="3509" spans="9:10">
      <c r="I3509" s="62" t="str">
        <f t="shared" si="109"/>
        <v/>
      </c>
      <c r="J3509" s="63" t="str">
        <f t="shared" si="110"/>
        <v/>
      </c>
    </row>
    <row r="3510" spans="9:10">
      <c r="I3510" s="62" t="str">
        <f t="shared" si="109"/>
        <v/>
      </c>
      <c r="J3510" s="63" t="str">
        <f t="shared" si="110"/>
        <v/>
      </c>
    </row>
    <row r="3511" spans="9:10">
      <c r="I3511" s="62" t="str">
        <f t="shared" si="109"/>
        <v/>
      </c>
      <c r="J3511" s="63" t="str">
        <f t="shared" si="110"/>
        <v/>
      </c>
    </row>
    <row r="3512" spans="9:10">
      <c r="I3512" s="62" t="str">
        <f t="shared" si="109"/>
        <v/>
      </c>
      <c r="J3512" s="63" t="str">
        <f t="shared" si="110"/>
        <v/>
      </c>
    </row>
    <row r="3513" spans="9:10">
      <c r="I3513" s="62" t="str">
        <f t="shared" si="109"/>
        <v/>
      </c>
      <c r="J3513" s="63" t="str">
        <f t="shared" si="110"/>
        <v/>
      </c>
    </row>
    <row r="3514" spans="9:10">
      <c r="I3514" s="62" t="str">
        <f t="shared" si="109"/>
        <v/>
      </c>
      <c r="J3514" s="63" t="str">
        <f t="shared" si="110"/>
        <v/>
      </c>
    </row>
    <row r="3515" spans="9:10">
      <c r="I3515" s="62" t="str">
        <f t="shared" si="109"/>
        <v/>
      </c>
      <c r="J3515" s="63" t="str">
        <f t="shared" si="110"/>
        <v/>
      </c>
    </row>
    <row r="3516" spans="9:10">
      <c r="I3516" s="62" t="str">
        <f t="shared" si="109"/>
        <v/>
      </c>
      <c r="J3516" s="63" t="str">
        <f t="shared" si="110"/>
        <v/>
      </c>
    </row>
    <row r="3517" spans="9:10">
      <c r="I3517" s="62" t="str">
        <f t="shared" si="109"/>
        <v/>
      </c>
      <c r="J3517" s="63" t="str">
        <f t="shared" si="110"/>
        <v/>
      </c>
    </row>
    <row r="3518" spans="9:10">
      <c r="I3518" s="62" t="str">
        <f t="shared" si="109"/>
        <v/>
      </c>
      <c r="J3518" s="63" t="str">
        <f t="shared" si="110"/>
        <v/>
      </c>
    </row>
    <row r="3519" spans="9:10">
      <c r="I3519" s="62" t="str">
        <f t="shared" si="109"/>
        <v/>
      </c>
      <c r="J3519" s="63" t="str">
        <f t="shared" si="110"/>
        <v/>
      </c>
    </row>
    <row r="3520" spans="9:10">
      <c r="I3520" s="62" t="str">
        <f t="shared" si="109"/>
        <v/>
      </c>
      <c r="J3520" s="63" t="str">
        <f t="shared" si="110"/>
        <v/>
      </c>
    </row>
    <row r="3521" spans="9:10">
      <c r="I3521" s="62" t="str">
        <f t="shared" si="109"/>
        <v/>
      </c>
      <c r="J3521" s="63" t="str">
        <f t="shared" si="110"/>
        <v/>
      </c>
    </row>
    <row r="3522" spans="9:10">
      <c r="I3522" s="62" t="str">
        <f t="shared" si="109"/>
        <v/>
      </c>
      <c r="J3522" s="63" t="str">
        <f t="shared" si="110"/>
        <v/>
      </c>
    </row>
    <row r="3523" spans="9:10">
      <c r="I3523" s="62" t="str">
        <f t="shared" si="109"/>
        <v/>
      </c>
      <c r="J3523" s="63" t="str">
        <f t="shared" si="110"/>
        <v/>
      </c>
    </row>
    <row r="3524" spans="9:10">
      <c r="I3524" s="62" t="str">
        <f t="shared" si="109"/>
        <v/>
      </c>
      <c r="J3524" s="63" t="str">
        <f t="shared" si="110"/>
        <v/>
      </c>
    </row>
    <row r="3525" spans="9:10">
      <c r="I3525" s="62" t="str">
        <f t="shared" si="109"/>
        <v/>
      </c>
      <c r="J3525" s="63" t="str">
        <f t="shared" si="110"/>
        <v/>
      </c>
    </row>
    <row r="3526" spans="9:10">
      <c r="I3526" s="62" t="str">
        <f t="shared" si="109"/>
        <v/>
      </c>
      <c r="J3526" s="63" t="str">
        <f t="shared" si="110"/>
        <v/>
      </c>
    </row>
    <row r="3527" spans="9:10">
      <c r="I3527" s="62" t="str">
        <f t="shared" si="109"/>
        <v/>
      </c>
      <c r="J3527" s="63" t="str">
        <f t="shared" si="110"/>
        <v/>
      </c>
    </row>
    <row r="3528" spans="9:10">
      <c r="I3528" s="62" t="str">
        <f t="shared" si="109"/>
        <v/>
      </c>
      <c r="J3528" s="63" t="str">
        <f t="shared" si="110"/>
        <v/>
      </c>
    </row>
    <row r="3529" spans="9:10">
      <c r="I3529" s="62" t="str">
        <f t="shared" si="109"/>
        <v/>
      </c>
      <c r="J3529" s="63" t="str">
        <f t="shared" si="110"/>
        <v/>
      </c>
    </row>
    <row r="3530" spans="9:10">
      <c r="I3530" s="62" t="str">
        <f t="shared" si="109"/>
        <v/>
      </c>
      <c r="J3530" s="63" t="str">
        <f t="shared" si="110"/>
        <v/>
      </c>
    </row>
    <row r="3531" spans="9:10">
      <c r="I3531" s="62" t="str">
        <f t="shared" si="109"/>
        <v/>
      </c>
      <c r="J3531" s="63" t="str">
        <f t="shared" si="110"/>
        <v/>
      </c>
    </row>
    <row r="3532" spans="9:10">
      <c r="I3532" s="62" t="str">
        <f t="shared" ref="I3532:I3595" si="111">IF(B3532="","",IF(B3532="Total",I3530,IF(B3530="Total",I3530, IF(ISNUMBER(A3532),A3532,I3531))))</f>
        <v/>
      </c>
      <c r="J3532" s="63" t="str">
        <f t="shared" si="110"/>
        <v/>
      </c>
    </row>
    <row r="3533" spans="9:10">
      <c r="I3533" s="62" t="str">
        <f t="shared" si="111"/>
        <v/>
      </c>
      <c r="J3533" s="63" t="str">
        <f t="shared" si="110"/>
        <v/>
      </c>
    </row>
    <row r="3534" spans="9:10">
      <c r="I3534" s="62" t="str">
        <f t="shared" si="111"/>
        <v/>
      </c>
      <c r="J3534" s="63" t="str">
        <f t="shared" si="110"/>
        <v/>
      </c>
    </row>
    <row r="3535" spans="9:10">
      <c r="I3535" s="62" t="str">
        <f t="shared" si="111"/>
        <v/>
      </c>
      <c r="J3535" s="63" t="str">
        <f t="shared" ref="J3535:J3598" si="112">IF(B3535="","",IF(B3535="Total",J3533,IF(B3533="Total",J3533,IF(A3535="",J3534,IF(ISNUMBER(A3534),B3534,IF(ISNUMBER(A3535),B3535,J3534))))))</f>
        <v/>
      </c>
    </row>
    <row r="3536" spans="9:10">
      <c r="I3536" s="62" t="str">
        <f t="shared" si="111"/>
        <v/>
      </c>
      <c r="J3536" s="63" t="str">
        <f t="shared" si="112"/>
        <v/>
      </c>
    </row>
    <row r="3537" spans="9:10">
      <c r="I3537" s="62" t="str">
        <f t="shared" si="111"/>
        <v/>
      </c>
      <c r="J3537" s="63" t="str">
        <f t="shared" si="112"/>
        <v/>
      </c>
    </row>
    <row r="3538" spans="9:10">
      <c r="I3538" s="62" t="str">
        <f t="shared" si="111"/>
        <v/>
      </c>
      <c r="J3538" s="63" t="str">
        <f t="shared" si="112"/>
        <v/>
      </c>
    </row>
    <row r="3539" spans="9:10">
      <c r="I3539" s="62" t="str">
        <f t="shared" si="111"/>
        <v/>
      </c>
      <c r="J3539" s="63" t="str">
        <f t="shared" si="112"/>
        <v/>
      </c>
    </row>
    <row r="3540" spans="9:10">
      <c r="I3540" s="62" t="str">
        <f t="shared" si="111"/>
        <v/>
      </c>
      <c r="J3540" s="63" t="str">
        <f t="shared" si="112"/>
        <v/>
      </c>
    </row>
    <row r="3541" spans="9:10">
      <c r="I3541" s="62" t="str">
        <f t="shared" si="111"/>
        <v/>
      </c>
      <c r="J3541" s="63" t="str">
        <f t="shared" si="112"/>
        <v/>
      </c>
    </row>
    <row r="3542" spans="9:10">
      <c r="I3542" s="62" t="str">
        <f t="shared" si="111"/>
        <v/>
      </c>
      <c r="J3542" s="63" t="str">
        <f t="shared" si="112"/>
        <v/>
      </c>
    </row>
    <row r="3543" spans="9:10">
      <c r="I3543" s="62" t="str">
        <f t="shared" si="111"/>
        <v/>
      </c>
      <c r="J3543" s="63" t="str">
        <f t="shared" si="112"/>
        <v/>
      </c>
    </row>
    <row r="3544" spans="9:10">
      <c r="I3544" s="62" t="str">
        <f t="shared" si="111"/>
        <v/>
      </c>
      <c r="J3544" s="63" t="str">
        <f t="shared" si="112"/>
        <v/>
      </c>
    </row>
    <row r="3545" spans="9:10">
      <c r="I3545" s="62" t="str">
        <f t="shared" si="111"/>
        <v/>
      </c>
      <c r="J3545" s="63" t="str">
        <f t="shared" si="112"/>
        <v/>
      </c>
    </row>
    <row r="3546" spans="9:10">
      <c r="I3546" s="62" t="str">
        <f t="shared" si="111"/>
        <v/>
      </c>
      <c r="J3546" s="63" t="str">
        <f t="shared" si="112"/>
        <v/>
      </c>
    </row>
    <row r="3547" spans="9:10">
      <c r="I3547" s="62" t="str">
        <f t="shared" si="111"/>
        <v/>
      </c>
      <c r="J3547" s="63" t="str">
        <f t="shared" si="112"/>
        <v/>
      </c>
    </row>
    <row r="3548" spans="9:10">
      <c r="I3548" s="62" t="str">
        <f t="shared" si="111"/>
        <v/>
      </c>
      <c r="J3548" s="63" t="str">
        <f t="shared" si="112"/>
        <v/>
      </c>
    </row>
    <row r="3549" spans="9:10">
      <c r="I3549" s="62" t="str">
        <f t="shared" si="111"/>
        <v/>
      </c>
      <c r="J3549" s="63" t="str">
        <f t="shared" si="112"/>
        <v/>
      </c>
    </row>
    <row r="3550" spans="9:10">
      <c r="I3550" s="62" t="str">
        <f t="shared" si="111"/>
        <v/>
      </c>
      <c r="J3550" s="63" t="str">
        <f t="shared" si="112"/>
        <v/>
      </c>
    </row>
    <row r="3551" spans="9:10">
      <c r="I3551" s="62" t="str">
        <f t="shared" si="111"/>
        <v/>
      </c>
      <c r="J3551" s="63" t="str">
        <f t="shared" si="112"/>
        <v/>
      </c>
    </row>
    <row r="3552" spans="9:10">
      <c r="I3552" s="62" t="str">
        <f t="shared" si="111"/>
        <v/>
      </c>
      <c r="J3552" s="63" t="str">
        <f t="shared" si="112"/>
        <v/>
      </c>
    </row>
    <row r="3553" spans="9:10">
      <c r="I3553" s="62" t="str">
        <f t="shared" si="111"/>
        <v/>
      </c>
      <c r="J3553" s="63" t="str">
        <f t="shared" si="112"/>
        <v/>
      </c>
    </row>
    <row r="3554" spans="9:10">
      <c r="I3554" s="62" t="str">
        <f t="shared" si="111"/>
        <v/>
      </c>
      <c r="J3554" s="63" t="str">
        <f t="shared" si="112"/>
        <v/>
      </c>
    </row>
    <row r="3555" spans="9:10">
      <c r="I3555" s="62" t="str">
        <f t="shared" si="111"/>
        <v/>
      </c>
      <c r="J3555" s="63" t="str">
        <f t="shared" si="112"/>
        <v/>
      </c>
    </row>
    <row r="3556" spans="9:10">
      <c r="I3556" s="62" t="str">
        <f t="shared" si="111"/>
        <v/>
      </c>
      <c r="J3556" s="63" t="str">
        <f t="shared" si="112"/>
        <v/>
      </c>
    </row>
    <row r="3557" spans="9:10">
      <c r="I3557" s="62" t="str">
        <f t="shared" si="111"/>
        <v/>
      </c>
      <c r="J3557" s="63" t="str">
        <f t="shared" si="112"/>
        <v/>
      </c>
    </row>
    <row r="3558" spans="9:10">
      <c r="I3558" s="62" t="str">
        <f t="shared" si="111"/>
        <v/>
      </c>
      <c r="J3558" s="63" t="str">
        <f t="shared" si="112"/>
        <v/>
      </c>
    </row>
    <row r="3559" spans="9:10">
      <c r="I3559" s="62" t="str">
        <f t="shared" si="111"/>
        <v/>
      </c>
      <c r="J3559" s="63" t="str">
        <f t="shared" si="112"/>
        <v/>
      </c>
    </row>
    <row r="3560" spans="9:10">
      <c r="I3560" s="62" t="str">
        <f t="shared" si="111"/>
        <v/>
      </c>
      <c r="J3560" s="63" t="str">
        <f t="shared" si="112"/>
        <v/>
      </c>
    </row>
    <row r="3561" spans="9:10">
      <c r="I3561" s="62" t="str">
        <f t="shared" si="111"/>
        <v/>
      </c>
      <c r="J3561" s="63" t="str">
        <f t="shared" si="112"/>
        <v/>
      </c>
    </row>
    <row r="3562" spans="9:10">
      <c r="I3562" s="62" t="str">
        <f t="shared" si="111"/>
        <v/>
      </c>
      <c r="J3562" s="63" t="str">
        <f t="shared" si="112"/>
        <v/>
      </c>
    </row>
    <row r="3563" spans="9:10">
      <c r="I3563" s="62" t="str">
        <f t="shared" si="111"/>
        <v/>
      </c>
      <c r="J3563" s="63" t="str">
        <f t="shared" si="112"/>
        <v/>
      </c>
    </row>
    <row r="3564" spans="9:10">
      <c r="I3564" s="62" t="str">
        <f t="shared" si="111"/>
        <v/>
      </c>
      <c r="J3564" s="63" t="str">
        <f t="shared" si="112"/>
        <v/>
      </c>
    </row>
    <row r="3565" spans="9:10">
      <c r="I3565" s="62" t="str">
        <f t="shared" si="111"/>
        <v/>
      </c>
      <c r="J3565" s="63" t="str">
        <f t="shared" si="112"/>
        <v/>
      </c>
    </row>
    <row r="3566" spans="9:10">
      <c r="I3566" s="62" t="str">
        <f t="shared" si="111"/>
        <v/>
      </c>
      <c r="J3566" s="63" t="str">
        <f t="shared" si="112"/>
        <v/>
      </c>
    </row>
    <row r="3567" spans="9:10">
      <c r="I3567" s="62" t="str">
        <f t="shared" si="111"/>
        <v/>
      </c>
      <c r="J3567" s="63" t="str">
        <f t="shared" si="112"/>
        <v/>
      </c>
    </row>
    <row r="3568" spans="9:10">
      <c r="I3568" s="62" t="str">
        <f t="shared" si="111"/>
        <v/>
      </c>
      <c r="J3568" s="63" t="str">
        <f t="shared" si="112"/>
        <v/>
      </c>
    </row>
    <row r="3569" spans="9:10">
      <c r="I3569" s="62" t="str">
        <f t="shared" si="111"/>
        <v/>
      </c>
      <c r="J3569" s="63" t="str">
        <f t="shared" si="112"/>
        <v/>
      </c>
    </row>
    <row r="3570" spans="9:10">
      <c r="I3570" s="62" t="str">
        <f t="shared" si="111"/>
        <v/>
      </c>
      <c r="J3570" s="63" t="str">
        <f t="shared" si="112"/>
        <v/>
      </c>
    </row>
    <row r="3571" spans="9:10">
      <c r="I3571" s="62" t="str">
        <f t="shared" si="111"/>
        <v/>
      </c>
      <c r="J3571" s="63" t="str">
        <f t="shared" si="112"/>
        <v/>
      </c>
    </row>
    <row r="3572" spans="9:10">
      <c r="I3572" s="62" t="str">
        <f t="shared" si="111"/>
        <v/>
      </c>
      <c r="J3572" s="63" t="str">
        <f t="shared" si="112"/>
        <v/>
      </c>
    </row>
    <row r="3573" spans="9:10">
      <c r="I3573" s="62" t="str">
        <f t="shared" si="111"/>
        <v/>
      </c>
      <c r="J3573" s="63" t="str">
        <f t="shared" si="112"/>
        <v/>
      </c>
    </row>
    <row r="3574" spans="9:10">
      <c r="I3574" s="62" t="str">
        <f t="shared" si="111"/>
        <v/>
      </c>
      <c r="J3574" s="63" t="str">
        <f t="shared" si="112"/>
        <v/>
      </c>
    </row>
    <row r="3575" spans="9:10">
      <c r="I3575" s="62" t="str">
        <f t="shared" si="111"/>
        <v/>
      </c>
      <c r="J3575" s="63" t="str">
        <f t="shared" si="112"/>
        <v/>
      </c>
    </row>
    <row r="3576" spans="9:10">
      <c r="I3576" s="62" t="str">
        <f t="shared" si="111"/>
        <v/>
      </c>
      <c r="J3576" s="63" t="str">
        <f t="shared" si="112"/>
        <v/>
      </c>
    </row>
    <row r="3577" spans="9:10">
      <c r="I3577" s="62" t="str">
        <f t="shared" si="111"/>
        <v/>
      </c>
      <c r="J3577" s="63" t="str">
        <f t="shared" si="112"/>
        <v/>
      </c>
    </row>
    <row r="3578" spans="9:10">
      <c r="I3578" s="62" t="str">
        <f t="shared" si="111"/>
        <v/>
      </c>
      <c r="J3578" s="63" t="str">
        <f t="shared" si="112"/>
        <v/>
      </c>
    </row>
    <row r="3579" spans="9:10">
      <c r="I3579" s="62" t="str">
        <f t="shared" si="111"/>
        <v/>
      </c>
      <c r="J3579" s="63" t="str">
        <f t="shared" si="112"/>
        <v/>
      </c>
    </row>
    <row r="3580" spans="9:10">
      <c r="I3580" s="62" t="str">
        <f t="shared" si="111"/>
        <v/>
      </c>
      <c r="J3580" s="63" t="str">
        <f t="shared" si="112"/>
        <v/>
      </c>
    </row>
    <row r="3581" spans="9:10">
      <c r="I3581" s="62" t="str">
        <f t="shared" si="111"/>
        <v/>
      </c>
      <c r="J3581" s="63" t="str">
        <f t="shared" si="112"/>
        <v/>
      </c>
    </row>
    <row r="3582" spans="9:10">
      <c r="I3582" s="62" t="str">
        <f t="shared" si="111"/>
        <v/>
      </c>
      <c r="J3582" s="63" t="str">
        <f t="shared" si="112"/>
        <v/>
      </c>
    </row>
    <row r="3583" spans="9:10">
      <c r="I3583" s="62" t="str">
        <f t="shared" si="111"/>
        <v/>
      </c>
      <c r="J3583" s="63" t="str">
        <f t="shared" si="112"/>
        <v/>
      </c>
    </row>
    <row r="3584" spans="9:10">
      <c r="I3584" s="62" t="str">
        <f t="shared" si="111"/>
        <v/>
      </c>
      <c r="J3584" s="63" t="str">
        <f t="shared" si="112"/>
        <v/>
      </c>
    </row>
    <row r="3585" spans="9:10">
      <c r="I3585" s="62" t="str">
        <f t="shared" si="111"/>
        <v/>
      </c>
      <c r="J3585" s="63" t="str">
        <f t="shared" si="112"/>
        <v/>
      </c>
    </row>
    <row r="3586" spans="9:10">
      <c r="I3586" s="62" t="str">
        <f t="shared" si="111"/>
        <v/>
      </c>
      <c r="J3586" s="63" t="str">
        <f t="shared" si="112"/>
        <v/>
      </c>
    </row>
    <row r="3587" spans="9:10">
      <c r="I3587" s="62" t="str">
        <f t="shared" si="111"/>
        <v/>
      </c>
      <c r="J3587" s="63" t="str">
        <f t="shared" si="112"/>
        <v/>
      </c>
    </row>
    <row r="3588" spans="9:10">
      <c r="I3588" s="62" t="str">
        <f t="shared" si="111"/>
        <v/>
      </c>
      <c r="J3588" s="63" t="str">
        <f t="shared" si="112"/>
        <v/>
      </c>
    </row>
    <row r="3589" spans="9:10">
      <c r="I3589" s="62" t="str">
        <f t="shared" si="111"/>
        <v/>
      </c>
      <c r="J3589" s="63" t="str">
        <f t="shared" si="112"/>
        <v/>
      </c>
    </row>
    <row r="3590" spans="9:10">
      <c r="I3590" s="62" t="str">
        <f t="shared" si="111"/>
        <v/>
      </c>
      <c r="J3590" s="63" t="str">
        <f t="shared" si="112"/>
        <v/>
      </c>
    </row>
    <row r="3591" spans="9:10">
      <c r="I3591" s="62" t="str">
        <f t="shared" si="111"/>
        <v/>
      </c>
      <c r="J3591" s="63" t="str">
        <f t="shared" si="112"/>
        <v/>
      </c>
    </row>
    <row r="3592" spans="9:10">
      <c r="I3592" s="62" t="str">
        <f t="shared" si="111"/>
        <v/>
      </c>
      <c r="J3592" s="63" t="str">
        <f t="shared" si="112"/>
        <v/>
      </c>
    </row>
    <row r="3593" spans="9:10">
      <c r="I3593" s="62" t="str">
        <f t="shared" si="111"/>
        <v/>
      </c>
      <c r="J3593" s="63" t="str">
        <f t="shared" si="112"/>
        <v/>
      </c>
    </row>
    <row r="3594" spans="9:10">
      <c r="I3594" s="62" t="str">
        <f t="shared" si="111"/>
        <v/>
      </c>
      <c r="J3594" s="63" t="str">
        <f t="shared" si="112"/>
        <v/>
      </c>
    </row>
    <row r="3595" spans="9:10">
      <c r="I3595" s="62" t="str">
        <f t="shared" si="111"/>
        <v/>
      </c>
      <c r="J3595" s="63" t="str">
        <f t="shared" si="112"/>
        <v/>
      </c>
    </row>
    <row r="3596" spans="9:10">
      <c r="I3596" s="62" t="str">
        <f t="shared" ref="I3596:I3659" si="113">IF(B3596="","",IF(B3596="Total",I3594,IF(B3594="Total",I3594, IF(ISNUMBER(A3596),A3596,I3595))))</f>
        <v/>
      </c>
      <c r="J3596" s="63" t="str">
        <f t="shared" si="112"/>
        <v/>
      </c>
    </row>
    <row r="3597" spans="9:10">
      <c r="I3597" s="62" t="str">
        <f t="shared" si="113"/>
        <v/>
      </c>
      <c r="J3597" s="63" t="str">
        <f t="shared" si="112"/>
        <v/>
      </c>
    </row>
    <row r="3598" spans="9:10">
      <c r="I3598" s="62" t="str">
        <f t="shared" si="113"/>
        <v/>
      </c>
      <c r="J3598" s="63" t="str">
        <f t="shared" si="112"/>
        <v/>
      </c>
    </row>
    <row r="3599" spans="9:10">
      <c r="I3599" s="62" t="str">
        <f t="shared" si="113"/>
        <v/>
      </c>
      <c r="J3599" s="63" t="str">
        <f t="shared" ref="J3599:J3662" si="114">IF(B3599="","",IF(B3599="Total",J3597,IF(B3597="Total",J3597,IF(A3599="",J3598,IF(ISNUMBER(A3598),B3598,IF(ISNUMBER(A3599),B3599,J3598))))))</f>
        <v/>
      </c>
    </row>
    <row r="3600" spans="9:10">
      <c r="I3600" s="62" t="str">
        <f t="shared" si="113"/>
        <v/>
      </c>
      <c r="J3600" s="63" t="str">
        <f t="shared" si="114"/>
        <v/>
      </c>
    </row>
    <row r="3601" spans="9:10">
      <c r="I3601" s="62" t="str">
        <f t="shared" si="113"/>
        <v/>
      </c>
      <c r="J3601" s="63" t="str">
        <f t="shared" si="114"/>
        <v/>
      </c>
    </row>
    <row r="3602" spans="9:10">
      <c r="I3602" s="62" t="str">
        <f t="shared" si="113"/>
        <v/>
      </c>
      <c r="J3602" s="63" t="str">
        <f t="shared" si="114"/>
        <v/>
      </c>
    </row>
    <row r="3603" spans="9:10">
      <c r="I3603" s="62" t="str">
        <f t="shared" si="113"/>
        <v/>
      </c>
      <c r="J3603" s="63" t="str">
        <f t="shared" si="114"/>
        <v/>
      </c>
    </row>
    <row r="3604" spans="9:10">
      <c r="I3604" s="62" t="str">
        <f t="shared" si="113"/>
        <v/>
      </c>
      <c r="J3604" s="63" t="str">
        <f t="shared" si="114"/>
        <v/>
      </c>
    </row>
    <row r="3605" spans="9:10">
      <c r="I3605" s="62" t="str">
        <f t="shared" si="113"/>
        <v/>
      </c>
      <c r="J3605" s="63" t="str">
        <f t="shared" si="114"/>
        <v/>
      </c>
    </row>
    <row r="3606" spans="9:10">
      <c r="I3606" s="62" t="str">
        <f t="shared" si="113"/>
        <v/>
      </c>
      <c r="J3606" s="63" t="str">
        <f t="shared" si="114"/>
        <v/>
      </c>
    </row>
    <row r="3607" spans="9:10">
      <c r="I3607" s="62" t="str">
        <f t="shared" si="113"/>
        <v/>
      </c>
      <c r="J3607" s="63" t="str">
        <f t="shared" si="114"/>
        <v/>
      </c>
    </row>
    <row r="3608" spans="9:10">
      <c r="I3608" s="62" t="str">
        <f t="shared" si="113"/>
        <v/>
      </c>
      <c r="J3608" s="63" t="str">
        <f t="shared" si="114"/>
        <v/>
      </c>
    </row>
    <row r="3609" spans="9:10">
      <c r="I3609" s="62" t="str">
        <f t="shared" si="113"/>
        <v/>
      </c>
      <c r="J3609" s="63" t="str">
        <f t="shared" si="114"/>
        <v/>
      </c>
    </row>
    <row r="3610" spans="9:10">
      <c r="I3610" s="62" t="str">
        <f t="shared" si="113"/>
        <v/>
      </c>
      <c r="J3610" s="63" t="str">
        <f t="shared" si="114"/>
        <v/>
      </c>
    </row>
    <row r="3611" spans="9:10">
      <c r="I3611" s="62" t="str">
        <f t="shared" si="113"/>
        <v/>
      </c>
      <c r="J3611" s="63" t="str">
        <f t="shared" si="114"/>
        <v/>
      </c>
    </row>
    <row r="3612" spans="9:10">
      <c r="I3612" s="62" t="str">
        <f t="shared" si="113"/>
        <v/>
      </c>
      <c r="J3612" s="63" t="str">
        <f t="shared" si="114"/>
        <v/>
      </c>
    </row>
    <row r="3613" spans="9:10">
      <c r="I3613" s="62" t="str">
        <f t="shared" si="113"/>
        <v/>
      </c>
      <c r="J3613" s="63" t="str">
        <f t="shared" si="114"/>
        <v/>
      </c>
    </row>
    <row r="3614" spans="9:10">
      <c r="I3614" s="62" t="str">
        <f t="shared" si="113"/>
        <v/>
      </c>
      <c r="J3614" s="63" t="str">
        <f t="shared" si="114"/>
        <v/>
      </c>
    </row>
    <row r="3615" spans="9:10">
      <c r="I3615" s="62" t="str">
        <f t="shared" si="113"/>
        <v/>
      </c>
      <c r="J3615" s="63" t="str">
        <f t="shared" si="114"/>
        <v/>
      </c>
    </row>
    <row r="3616" spans="9:10">
      <c r="I3616" s="62" t="str">
        <f t="shared" si="113"/>
        <v/>
      </c>
      <c r="J3616" s="63" t="str">
        <f t="shared" si="114"/>
        <v/>
      </c>
    </row>
    <row r="3617" spans="9:10">
      <c r="I3617" s="62" t="str">
        <f t="shared" si="113"/>
        <v/>
      </c>
      <c r="J3617" s="63" t="str">
        <f t="shared" si="114"/>
        <v/>
      </c>
    </row>
    <row r="3618" spans="9:10">
      <c r="I3618" s="62" t="str">
        <f t="shared" si="113"/>
        <v/>
      </c>
      <c r="J3618" s="63" t="str">
        <f t="shared" si="114"/>
        <v/>
      </c>
    </row>
    <row r="3619" spans="9:10">
      <c r="I3619" s="62" t="str">
        <f t="shared" si="113"/>
        <v/>
      </c>
      <c r="J3619" s="63" t="str">
        <f t="shared" si="114"/>
        <v/>
      </c>
    </row>
    <row r="3620" spans="9:10">
      <c r="I3620" s="62" t="str">
        <f t="shared" si="113"/>
        <v/>
      </c>
      <c r="J3620" s="63" t="str">
        <f t="shared" si="114"/>
        <v/>
      </c>
    </row>
    <row r="3621" spans="9:10">
      <c r="I3621" s="62" t="str">
        <f t="shared" si="113"/>
        <v/>
      </c>
      <c r="J3621" s="63" t="str">
        <f t="shared" si="114"/>
        <v/>
      </c>
    </row>
    <row r="3622" spans="9:10">
      <c r="I3622" s="62" t="str">
        <f t="shared" si="113"/>
        <v/>
      </c>
      <c r="J3622" s="63" t="str">
        <f t="shared" si="114"/>
        <v/>
      </c>
    </row>
    <row r="3623" spans="9:10">
      <c r="I3623" s="62" t="str">
        <f t="shared" si="113"/>
        <v/>
      </c>
      <c r="J3623" s="63" t="str">
        <f t="shared" si="114"/>
        <v/>
      </c>
    </row>
    <row r="3624" spans="9:10">
      <c r="I3624" s="62" t="str">
        <f t="shared" si="113"/>
        <v/>
      </c>
      <c r="J3624" s="63" t="str">
        <f t="shared" si="114"/>
        <v/>
      </c>
    </row>
    <row r="3625" spans="9:10">
      <c r="I3625" s="62" t="str">
        <f t="shared" si="113"/>
        <v/>
      </c>
      <c r="J3625" s="63" t="str">
        <f t="shared" si="114"/>
        <v/>
      </c>
    </row>
    <row r="3626" spans="9:10">
      <c r="I3626" s="62" t="str">
        <f t="shared" si="113"/>
        <v/>
      </c>
      <c r="J3626" s="63" t="str">
        <f t="shared" si="114"/>
        <v/>
      </c>
    </row>
    <row r="3627" spans="9:10">
      <c r="I3627" s="62" t="str">
        <f t="shared" si="113"/>
        <v/>
      </c>
      <c r="J3627" s="63" t="str">
        <f t="shared" si="114"/>
        <v/>
      </c>
    </row>
    <row r="3628" spans="9:10">
      <c r="I3628" s="62" t="str">
        <f t="shared" si="113"/>
        <v/>
      </c>
      <c r="J3628" s="63" t="str">
        <f t="shared" si="114"/>
        <v/>
      </c>
    </row>
    <row r="3629" spans="9:10">
      <c r="I3629" s="62" t="str">
        <f t="shared" si="113"/>
        <v/>
      </c>
      <c r="J3629" s="63" t="str">
        <f t="shared" si="114"/>
        <v/>
      </c>
    </row>
    <row r="3630" spans="9:10">
      <c r="I3630" s="62" t="str">
        <f t="shared" si="113"/>
        <v/>
      </c>
      <c r="J3630" s="63" t="str">
        <f t="shared" si="114"/>
        <v/>
      </c>
    </row>
    <row r="3631" spans="9:10">
      <c r="I3631" s="62" t="str">
        <f t="shared" si="113"/>
        <v/>
      </c>
      <c r="J3631" s="63" t="str">
        <f t="shared" si="114"/>
        <v/>
      </c>
    </row>
    <row r="3632" spans="9:10">
      <c r="I3632" s="62" t="str">
        <f t="shared" si="113"/>
        <v/>
      </c>
      <c r="J3632" s="63" t="str">
        <f t="shared" si="114"/>
        <v/>
      </c>
    </row>
    <row r="3633" spans="9:10">
      <c r="I3633" s="62" t="str">
        <f t="shared" si="113"/>
        <v/>
      </c>
      <c r="J3633" s="63" t="str">
        <f t="shared" si="114"/>
        <v/>
      </c>
    </row>
    <row r="3634" spans="9:10">
      <c r="I3634" s="62" t="str">
        <f t="shared" si="113"/>
        <v/>
      </c>
      <c r="J3634" s="63" t="str">
        <f t="shared" si="114"/>
        <v/>
      </c>
    </row>
    <row r="3635" spans="9:10">
      <c r="I3635" s="62" t="str">
        <f t="shared" si="113"/>
        <v/>
      </c>
      <c r="J3635" s="63" t="str">
        <f t="shared" si="114"/>
        <v/>
      </c>
    </row>
    <row r="3636" spans="9:10">
      <c r="I3636" s="62" t="str">
        <f t="shared" si="113"/>
        <v/>
      </c>
      <c r="J3636" s="63" t="str">
        <f t="shared" si="114"/>
        <v/>
      </c>
    </row>
    <row r="3637" spans="9:10">
      <c r="I3637" s="62" t="str">
        <f t="shared" si="113"/>
        <v/>
      </c>
      <c r="J3637" s="63" t="str">
        <f t="shared" si="114"/>
        <v/>
      </c>
    </row>
    <row r="3638" spans="9:10">
      <c r="I3638" s="62" t="str">
        <f t="shared" si="113"/>
        <v/>
      </c>
      <c r="J3638" s="63" t="str">
        <f t="shared" si="114"/>
        <v/>
      </c>
    </row>
    <row r="3639" spans="9:10">
      <c r="I3639" s="62" t="str">
        <f t="shared" si="113"/>
        <v/>
      </c>
      <c r="J3639" s="63" t="str">
        <f t="shared" si="114"/>
        <v/>
      </c>
    </row>
    <row r="3640" spans="9:10">
      <c r="I3640" s="62" t="str">
        <f t="shared" si="113"/>
        <v/>
      </c>
      <c r="J3640" s="63" t="str">
        <f t="shared" si="114"/>
        <v/>
      </c>
    </row>
    <row r="3641" spans="9:10">
      <c r="I3641" s="62" t="str">
        <f t="shared" si="113"/>
        <v/>
      </c>
      <c r="J3641" s="63" t="str">
        <f t="shared" si="114"/>
        <v/>
      </c>
    </row>
    <row r="3642" spans="9:10">
      <c r="I3642" s="62" t="str">
        <f t="shared" si="113"/>
        <v/>
      </c>
      <c r="J3642" s="63" t="str">
        <f t="shared" si="114"/>
        <v/>
      </c>
    </row>
    <row r="3643" spans="9:10">
      <c r="I3643" s="62" t="str">
        <f t="shared" si="113"/>
        <v/>
      </c>
      <c r="J3643" s="63" t="str">
        <f t="shared" si="114"/>
        <v/>
      </c>
    </row>
    <row r="3644" spans="9:10">
      <c r="I3644" s="62" t="str">
        <f t="shared" si="113"/>
        <v/>
      </c>
      <c r="J3644" s="63" t="str">
        <f t="shared" si="114"/>
        <v/>
      </c>
    </row>
    <row r="3645" spans="9:10">
      <c r="I3645" s="62" t="str">
        <f t="shared" si="113"/>
        <v/>
      </c>
      <c r="J3645" s="63" t="str">
        <f t="shared" si="114"/>
        <v/>
      </c>
    </row>
    <row r="3646" spans="9:10">
      <c r="I3646" s="62" t="str">
        <f t="shared" si="113"/>
        <v/>
      </c>
      <c r="J3646" s="63" t="str">
        <f t="shared" si="114"/>
        <v/>
      </c>
    </row>
    <row r="3647" spans="9:10">
      <c r="I3647" s="62" t="str">
        <f t="shared" si="113"/>
        <v/>
      </c>
      <c r="J3647" s="63" t="str">
        <f t="shared" si="114"/>
        <v/>
      </c>
    </row>
    <row r="3648" spans="9:10">
      <c r="I3648" s="62" t="str">
        <f t="shared" si="113"/>
        <v/>
      </c>
      <c r="J3648" s="63" t="str">
        <f t="shared" si="114"/>
        <v/>
      </c>
    </row>
    <row r="3649" spans="9:10">
      <c r="I3649" s="62" t="str">
        <f t="shared" si="113"/>
        <v/>
      </c>
      <c r="J3649" s="63" t="str">
        <f t="shared" si="114"/>
        <v/>
      </c>
    </row>
    <row r="3650" spans="9:10">
      <c r="I3650" s="62" t="str">
        <f t="shared" si="113"/>
        <v/>
      </c>
      <c r="J3650" s="63" t="str">
        <f t="shared" si="114"/>
        <v/>
      </c>
    </row>
    <row r="3651" spans="9:10">
      <c r="I3651" s="62" t="str">
        <f t="shared" si="113"/>
        <v/>
      </c>
      <c r="J3651" s="63" t="str">
        <f t="shared" si="114"/>
        <v/>
      </c>
    </row>
    <row r="3652" spans="9:10">
      <c r="I3652" s="62" t="str">
        <f t="shared" si="113"/>
        <v/>
      </c>
      <c r="J3652" s="63" t="str">
        <f t="shared" si="114"/>
        <v/>
      </c>
    </row>
    <row r="3653" spans="9:10">
      <c r="I3653" s="62" t="str">
        <f t="shared" si="113"/>
        <v/>
      </c>
      <c r="J3653" s="63" t="str">
        <f t="shared" si="114"/>
        <v/>
      </c>
    </row>
    <row r="3654" spans="9:10">
      <c r="I3654" s="62" t="str">
        <f t="shared" si="113"/>
        <v/>
      </c>
      <c r="J3654" s="63" t="str">
        <f t="shared" si="114"/>
        <v/>
      </c>
    </row>
    <row r="3655" spans="9:10">
      <c r="I3655" s="62" t="str">
        <f t="shared" si="113"/>
        <v/>
      </c>
      <c r="J3655" s="63" t="str">
        <f t="shared" si="114"/>
        <v/>
      </c>
    </row>
    <row r="3656" spans="9:10">
      <c r="I3656" s="62" t="str">
        <f t="shared" si="113"/>
        <v/>
      </c>
      <c r="J3656" s="63" t="str">
        <f t="shared" si="114"/>
        <v/>
      </c>
    </row>
    <row r="3657" spans="9:10">
      <c r="I3657" s="62" t="str">
        <f t="shared" si="113"/>
        <v/>
      </c>
      <c r="J3657" s="63" t="str">
        <f t="shared" si="114"/>
        <v/>
      </c>
    </row>
    <row r="3658" spans="9:10">
      <c r="I3658" s="62" t="str">
        <f t="shared" si="113"/>
        <v/>
      </c>
      <c r="J3658" s="63" t="str">
        <f t="shared" si="114"/>
        <v/>
      </c>
    </row>
    <row r="3659" spans="9:10">
      <c r="I3659" s="62" t="str">
        <f t="shared" si="113"/>
        <v/>
      </c>
      <c r="J3659" s="63" t="str">
        <f t="shared" si="114"/>
        <v/>
      </c>
    </row>
    <row r="3660" spans="9:10">
      <c r="I3660" s="62" t="str">
        <f t="shared" ref="I3660:I3723" si="115">IF(B3660="","",IF(B3660="Total",I3658,IF(B3658="Total",I3658, IF(ISNUMBER(A3660),A3660,I3659))))</f>
        <v/>
      </c>
      <c r="J3660" s="63" t="str">
        <f t="shared" si="114"/>
        <v/>
      </c>
    </row>
    <row r="3661" spans="9:10">
      <c r="I3661" s="62" t="str">
        <f t="shared" si="115"/>
        <v/>
      </c>
      <c r="J3661" s="63" t="str">
        <f t="shared" si="114"/>
        <v/>
      </c>
    </row>
    <row r="3662" spans="9:10">
      <c r="I3662" s="62" t="str">
        <f t="shared" si="115"/>
        <v/>
      </c>
      <c r="J3662" s="63" t="str">
        <f t="shared" si="114"/>
        <v/>
      </c>
    </row>
    <row r="3663" spans="9:10">
      <c r="I3663" s="62" t="str">
        <f t="shared" si="115"/>
        <v/>
      </c>
      <c r="J3663" s="63" t="str">
        <f t="shared" ref="J3663:J3726" si="116">IF(B3663="","",IF(B3663="Total",J3661,IF(B3661="Total",J3661,IF(A3663="",J3662,IF(ISNUMBER(A3662),B3662,IF(ISNUMBER(A3663),B3663,J3662))))))</f>
        <v/>
      </c>
    </row>
    <row r="3664" spans="9:10">
      <c r="I3664" s="62" t="str">
        <f t="shared" si="115"/>
        <v/>
      </c>
      <c r="J3664" s="63" t="str">
        <f t="shared" si="116"/>
        <v/>
      </c>
    </row>
    <row r="3665" spans="9:10">
      <c r="I3665" s="62" t="str">
        <f t="shared" si="115"/>
        <v/>
      </c>
      <c r="J3665" s="63" t="str">
        <f t="shared" si="116"/>
        <v/>
      </c>
    </row>
    <row r="3666" spans="9:10">
      <c r="I3666" s="62" t="str">
        <f t="shared" si="115"/>
        <v/>
      </c>
      <c r="J3666" s="63" t="str">
        <f t="shared" si="116"/>
        <v/>
      </c>
    </row>
    <row r="3667" spans="9:10">
      <c r="I3667" s="62" t="str">
        <f t="shared" si="115"/>
        <v/>
      </c>
      <c r="J3667" s="63" t="str">
        <f t="shared" si="116"/>
        <v/>
      </c>
    </row>
    <row r="3668" spans="9:10">
      <c r="I3668" s="62" t="str">
        <f t="shared" si="115"/>
        <v/>
      </c>
      <c r="J3668" s="63" t="str">
        <f t="shared" si="116"/>
        <v/>
      </c>
    </row>
    <row r="3669" spans="9:10">
      <c r="I3669" s="62" t="str">
        <f t="shared" si="115"/>
        <v/>
      </c>
      <c r="J3669" s="63" t="str">
        <f t="shared" si="116"/>
        <v/>
      </c>
    </row>
    <row r="3670" spans="9:10">
      <c r="I3670" s="62" t="str">
        <f t="shared" si="115"/>
        <v/>
      </c>
      <c r="J3670" s="63" t="str">
        <f t="shared" si="116"/>
        <v/>
      </c>
    </row>
    <row r="3671" spans="9:10">
      <c r="I3671" s="62" t="str">
        <f t="shared" si="115"/>
        <v/>
      </c>
      <c r="J3671" s="63" t="str">
        <f t="shared" si="116"/>
        <v/>
      </c>
    </row>
    <row r="3672" spans="9:10">
      <c r="I3672" s="62" t="str">
        <f t="shared" si="115"/>
        <v/>
      </c>
      <c r="J3672" s="63" t="str">
        <f t="shared" si="116"/>
        <v/>
      </c>
    </row>
    <row r="3673" spans="9:10">
      <c r="I3673" s="62" t="str">
        <f t="shared" si="115"/>
        <v/>
      </c>
      <c r="J3673" s="63" t="str">
        <f t="shared" si="116"/>
        <v/>
      </c>
    </row>
    <row r="3674" spans="9:10">
      <c r="I3674" s="62" t="str">
        <f t="shared" si="115"/>
        <v/>
      </c>
      <c r="J3674" s="63" t="str">
        <f t="shared" si="116"/>
        <v/>
      </c>
    </row>
    <row r="3675" spans="9:10">
      <c r="I3675" s="62" t="str">
        <f t="shared" si="115"/>
        <v/>
      </c>
      <c r="J3675" s="63" t="str">
        <f t="shared" si="116"/>
        <v/>
      </c>
    </row>
    <row r="3676" spans="9:10">
      <c r="I3676" s="62" t="str">
        <f t="shared" si="115"/>
        <v/>
      </c>
      <c r="J3676" s="63" t="str">
        <f t="shared" si="116"/>
        <v/>
      </c>
    </row>
    <row r="3677" spans="9:10">
      <c r="I3677" s="62" t="str">
        <f t="shared" si="115"/>
        <v/>
      </c>
      <c r="J3677" s="63" t="str">
        <f t="shared" si="116"/>
        <v/>
      </c>
    </row>
    <row r="3678" spans="9:10">
      <c r="I3678" s="62" t="str">
        <f t="shared" si="115"/>
        <v/>
      </c>
      <c r="J3678" s="63" t="str">
        <f t="shared" si="116"/>
        <v/>
      </c>
    </row>
    <row r="3679" spans="9:10">
      <c r="I3679" s="62" t="str">
        <f t="shared" si="115"/>
        <v/>
      </c>
      <c r="J3679" s="63" t="str">
        <f t="shared" si="116"/>
        <v/>
      </c>
    </row>
    <row r="3680" spans="9:10">
      <c r="I3680" s="62" t="str">
        <f t="shared" si="115"/>
        <v/>
      </c>
      <c r="J3680" s="63" t="str">
        <f t="shared" si="116"/>
        <v/>
      </c>
    </row>
    <row r="3681" spans="9:10">
      <c r="I3681" s="62" t="str">
        <f t="shared" si="115"/>
        <v/>
      </c>
      <c r="J3681" s="63" t="str">
        <f t="shared" si="116"/>
        <v/>
      </c>
    </row>
    <row r="3682" spans="9:10">
      <c r="I3682" s="62" t="str">
        <f t="shared" si="115"/>
        <v/>
      </c>
      <c r="J3682" s="63" t="str">
        <f t="shared" si="116"/>
        <v/>
      </c>
    </row>
    <row r="3683" spans="9:10">
      <c r="I3683" s="62" t="str">
        <f t="shared" si="115"/>
        <v/>
      </c>
      <c r="J3683" s="63" t="str">
        <f t="shared" si="116"/>
        <v/>
      </c>
    </row>
    <row r="3684" spans="9:10">
      <c r="I3684" s="62" t="str">
        <f t="shared" si="115"/>
        <v/>
      </c>
      <c r="J3684" s="63" t="str">
        <f t="shared" si="116"/>
        <v/>
      </c>
    </row>
    <row r="3685" spans="9:10">
      <c r="I3685" s="62" t="str">
        <f t="shared" si="115"/>
        <v/>
      </c>
      <c r="J3685" s="63" t="str">
        <f t="shared" si="116"/>
        <v/>
      </c>
    </row>
    <row r="3686" spans="9:10">
      <c r="I3686" s="62" t="str">
        <f t="shared" si="115"/>
        <v/>
      </c>
      <c r="J3686" s="63" t="str">
        <f t="shared" si="116"/>
        <v/>
      </c>
    </row>
    <row r="3687" spans="9:10">
      <c r="I3687" s="62" t="str">
        <f t="shared" si="115"/>
        <v/>
      </c>
      <c r="J3687" s="63" t="str">
        <f t="shared" si="116"/>
        <v/>
      </c>
    </row>
    <row r="3688" spans="9:10">
      <c r="I3688" s="62" t="str">
        <f t="shared" si="115"/>
        <v/>
      </c>
      <c r="J3688" s="63" t="str">
        <f t="shared" si="116"/>
        <v/>
      </c>
    </row>
    <row r="3689" spans="9:10">
      <c r="I3689" s="62" t="str">
        <f t="shared" si="115"/>
        <v/>
      </c>
      <c r="J3689" s="63" t="str">
        <f t="shared" si="116"/>
        <v/>
      </c>
    </row>
    <row r="3690" spans="9:10">
      <c r="I3690" s="62" t="str">
        <f t="shared" si="115"/>
        <v/>
      </c>
      <c r="J3690" s="63" t="str">
        <f t="shared" si="116"/>
        <v/>
      </c>
    </row>
    <row r="3691" spans="9:10">
      <c r="I3691" s="62" t="str">
        <f t="shared" si="115"/>
        <v/>
      </c>
      <c r="J3691" s="63" t="str">
        <f t="shared" si="116"/>
        <v/>
      </c>
    </row>
    <row r="3692" spans="9:10">
      <c r="I3692" s="62" t="str">
        <f t="shared" si="115"/>
        <v/>
      </c>
      <c r="J3692" s="63" t="str">
        <f t="shared" si="116"/>
        <v/>
      </c>
    </row>
    <row r="3693" spans="9:10">
      <c r="I3693" s="62" t="str">
        <f t="shared" si="115"/>
        <v/>
      </c>
      <c r="J3693" s="63" t="str">
        <f t="shared" si="116"/>
        <v/>
      </c>
    </row>
    <row r="3694" spans="9:10">
      <c r="I3694" s="62" t="str">
        <f t="shared" si="115"/>
        <v/>
      </c>
      <c r="J3694" s="63" t="str">
        <f t="shared" si="116"/>
        <v/>
      </c>
    </row>
    <row r="3695" spans="9:10">
      <c r="I3695" s="62" t="str">
        <f t="shared" si="115"/>
        <v/>
      </c>
      <c r="J3695" s="63" t="str">
        <f t="shared" si="116"/>
        <v/>
      </c>
    </row>
    <row r="3696" spans="9:10">
      <c r="I3696" s="62" t="str">
        <f t="shared" si="115"/>
        <v/>
      </c>
      <c r="J3696" s="63" t="str">
        <f t="shared" si="116"/>
        <v/>
      </c>
    </row>
    <row r="3697" spans="9:10">
      <c r="I3697" s="62" t="str">
        <f t="shared" si="115"/>
        <v/>
      </c>
      <c r="J3697" s="63" t="str">
        <f t="shared" si="116"/>
        <v/>
      </c>
    </row>
    <row r="3698" spans="9:10">
      <c r="I3698" s="62" t="str">
        <f t="shared" si="115"/>
        <v/>
      </c>
      <c r="J3698" s="63" t="str">
        <f t="shared" si="116"/>
        <v/>
      </c>
    </row>
    <row r="3699" spans="9:10">
      <c r="I3699" s="62" t="str">
        <f t="shared" si="115"/>
        <v/>
      </c>
      <c r="J3699" s="63" t="str">
        <f t="shared" si="116"/>
        <v/>
      </c>
    </row>
    <row r="3700" spans="9:10">
      <c r="I3700" s="62" t="str">
        <f t="shared" si="115"/>
        <v/>
      </c>
      <c r="J3700" s="63" t="str">
        <f t="shared" si="116"/>
        <v/>
      </c>
    </row>
    <row r="3701" spans="9:10">
      <c r="I3701" s="62" t="str">
        <f t="shared" si="115"/>
        <v/>
      </c>
      <c r="J3701" s="63" t="str">
        <f t="shared" si="116"/>
        <v/>
      </c>
    </row>
    <row r="3702" spans="9:10">
      <c r="I3702" s="62" t="str">
        <f t="shared" si="115"/>
        <v/>
      </c>
      <c r="J3702" s="63" t="str">
        <f t="shared" si="116"/>
        <v/>
      </c>
    </row>
    <row r="3703" spans="9:10">
      <c r="I3703" s="62" t="str">
        <f t="shared" si="115"/>
        <v/>
      </c>
      <c r="J3703" s="63" t="str">
        <f t="shared" si="116"/>
        <v/>
      </c>
    </row>
    <row r="3704" spans="9:10">
      <c r="I3704" s="62" t="str">
        <f t="shared" si="115"/>
        <v/>
      </c>
      <c r="J3704" s="63" t="str">
        <f t="shared" si="116"/>
        <v/>
      </c>
    </row>
    <row r="3705" spans="9:10">
      <c r="I3705" s="62" t="str">
        <f t="shared" si="115"/>
        <v/>
      </c>
      <c r="J3705" s="63" t="str">
        <f t="shared" si="116"/>
        <v/>
      </c>
    </row>
    <row r="3706" spans="9:10">
      <c r="I3706" s="62" t="str">
        <f t="shared" si="115"/>
        <v/>
      </c>
      <c r="J3706" s="63" t="str">
        <f t="shared" si="116"/>
        <v/>
      </c>
    </row>
    <row r="3707" spans="9:10">
      <c r="I3707" s="62" t="str">
        <f t="shared" si="115"/>
        <v/>
      </c>
      <c r="J3707" s="63" t="str">
        <f t="shared" si="116"/>
        <v/>
      </c>
    </row>
    <row r="3708" spans="9:10">
      <c r="I3708" s="62" t="str">
        <f t="shared" si="115"/>
        <v/>
      </c>
      <c r="J3708" s="63" t="str">
        <f t="shared" si="116"/>
        <v/>
      </c>
    </row>
    <row r="3709" spans="9:10">
      <c r="I3709" s="62" t="str">
        <f t="shared" si="115"/>
        <v/>
      </c>
      <c r="J3709" s="63" t="str">
        <f t="shared" si="116"/>
        <v/>
      </c>
    </row>
    <row r="3710" spans="9:10">
      <c r="I3710" s="62" t="str">
        <f t="shared" si="115"/>
        <v/>
      </c>
      <c r="J3710" s="63" t="str">
        <f t="shared" si="116"/>
        <v/>
      </c>
    </row>
    <row r="3711" spans="9:10">
      <c r="I3711" s="62" t="str">
        <f t="shared" si="115"/>
        <v/>
      </c>
      <c r="J3711" s="63" t="str">
        <f t="shared" si="116"/>
        <v/>
      </c>
    </row>
    <row r="3712" spans="9:10">
      <c r="I3712" s="62" t="str">
        <f t="shared" si="115"/>
        <v/>
      </c>
      <c r="J3712" s="63" t="str">
        <f t="shared" si="116"/>
        <v/>
      </c>
    </row>
    <row r="3713" spans="9:10">
      <c r="I3713" s="62" t="str">
        <f t="shared" si="115"/>
        <v/>
      </c>
      <c r="J3713" s="63" t="str">
        <f t="shared" si="116"/>
        <v/>
      </c>
    </row>
    <row r="3714" spans="9:10">
      <c r="I3714" s="62" t="str">
        <f t="shared" si="115"/>
        <v/>
      </c>
      <c r="J3714" s="63" t="str">
        <f t="shared" si="116"/>
        <v/>
      </c>
    </row>
    <row r="3715" spans="9:10">
      <c r="I3715" s="62" t="str">
        <f t="shared" si="115"/>
        <v/>
      </c>
      <c r="J3715" s="63" t="str">
        <f t="shared" si="116"/>
        <v/>
      </c>
    </row>
    <row r="3716" spans="9:10">
      <c r="I3716" s="62" t="str">
        <f t="shared" si="115"/>
        <v/>
      </c>
      <c r="J3716" s="63" t="str">
        <f t="shared" si="116"/>
        <v/>
      </c>
    </row>
    <row r="3717" spans="9:10">
      <c r="I3717" s="62" t="str">
        <f t="shared" si="115"/>
        <v/>
      </c>
      <c r="J3717" s="63" t="str">
        <f t="shared" si="116"/>
        <v/>
      </c>
    </row>
    <row r="3718" spans="9:10">
      <c r="I3718" s="62" t="str">
        <f t="shared" si="115"/>
        <v/>
      </c>
      <c r="J3718" s="63" t="str">
        <f t="shared" si="116"/>
        <v/>
      </c>
    </row>
    <row r="3719" spans="9:10">
      <c r="I3719" s="62" t="str">
        <f t="shared" si="115"/>
        <v/>
      </c>
      <c r="J3719" s="63" t="str">
        <f t="shared" si="116"/>
        <v/>
      </c>
    </row>
    <row r="3720" spans="9:10">
      <c r="I3720" s="62" t="str">
        <f t="shared" si="115"/>
        <v/>
      </c>
      <c r="J3720" s="63" t="str">
        <f t="shared" si="116"/>
        <v/>
      </c>
    </row>
    <row r="3721" spans="9:10">
      <c r="I3721" s="62" t="str">
        <f t="shared" si="115"/>
        <v/>
      </c>
      <c r="J3721" s="63" t="str">
        <f t="shared" si="116"/>
        <v/>
      </c>
    </row>
    <row r="3722" spans="9:10">
      <c r="I3722" s="62" t="str">
        <f t="shared" si="115"/>
        <v/>
      </c>
      <c r="J3722" s="63" t="str">
        <f t="shared" si="116"/>
        <v/>
      </c>
    </row>
    <row r="3723" spans="9:10">
      <c r="I3723" s="62" t="str">
        <f t="shared" si="115"/>
        <v/>
      </c>
      <c r="J3723" s="63" t="str">
        <f t="shared" si="116"/>
        <v/>
      </c>
    </row>
    <row r="3724" spans="9:10">
      <c r="I3724" s="62" t="str">
        <f t="shared" ref="I3724:I3787" si="117">IF(B3724="","",IF(B3724="Total",I3722,IF(B3722="Total",I3722, IF(ISNUMBER(A3724),A3724,I3723))))</f>
        <v/>
      </c>
      <c r="J3724" s="63" t="str">
        <f t="shared" si="116"/>
        <v/>
      </c>
    </row>
    <row r="3725" spans="9:10">
      <c r="I3725" s="62" t="str">
        <f t="shared" si="117"/>
        <v/>
      </c>
      <c r="J3725" s="63" t="str">
        <f t="shared" si="116"/>
        <v/>
      </c>
    </row>
    <row r="3726" spans="9:10">
      <c r="I3726" s="62" t="str">
        <f t="shared" si="117"/>
        <v/>
      </c>
      <c r="J3726" s="63" t="str">
        <f t="shared" si="116"/>
        <v/>
      </c>
    </row>
    <row r="3727" spans="9:10">
      <c r="I3727" s="62" t="str">
        <f t="shared" si="117"/>
        <v/>
      </c>
      <c r="J3727" s="63" t="str">
        <f t="shared" ref="J3727:J3790" si="118">IF(B3727="","",IF(B3727="Total",J3725,IF(B3725="Total",J3725,IF(A3727="",J3726,IF(ISNUMBER(A3726),B3726,IF(ISNUMBER(A3727),B3727,J3726))))))</f>
        <v/>
      </c>
    </row>
    <row r="3728" spans="9:10">
      <c r="I3728" s="62" t="str">
        <f t="shared" si="117"/>
        <v/>
      </c>
      <c r="J3728" s="63" t="str">
        <f t="shared" si="118"/>
        <v/>
      </c>
    </row>
    <row r="3729" spans="9:10">
      <c r="I3729" s="62" t="str">
        <f t="shared" si="117"/>
        <v/>
      </c>
      <c r="J3729" s="63" t="str">
        <f t="shared" si="118"/>
        <v/>
      </c>
    </row>
    <row r="3730" spans="9:10">
      <c r="I3730" s="62" t="str">
        <f t="shared" si="117"/>
        <v/>
      </c>
      <c r="J3730" s="63" t="str">
        <f t="shared" si="118"/>
        <v/>
      </c>
    </row>
    <row r="3731" spans="9:10">
      <c r="I3731" s="62" t="str">
        <f t="shared" si="117"/>
        <v/>
      </c>
      <c r="J3731" s="63" t="str">
        <f t="shared" si="118"/>
        <v/>
      </c>
    </row>
    <row r="3732" spans="9:10">
      <c r="I3732" s="62" t="str">
        <f t="shared" si="117"/>
        <v/>
      </c>
      <c r="J3732" s="63" t="str">
        <f t="shared" si="118"/>
        <v/>
      </c>
    </row>
    <row r="3733" spans="9:10">
      <c r="I3733" s="62" t="str">
        <f t="shared" si="117"/>
        <v/>
      </c>
      <c r="J3733" s="63" t="str">
        <f t="shared" si="118"/>
        <v/>
      </c>
    </row>
    <row r="3734" spans="9:10">
      <c r="I3734" s="62" t="str">
        <f t="shared" si="117"/>
        <v/>
      </c>
      <c r="J3734" s="63" t="str">
        <f t="shared" si="118"/>
        <v/>
      </c>
    </row>
    <row r="3735" spans="9:10">
      <c r="I3735" s="62" t="str">
        <f t="shared" si="117"/>
        <v/>
      </c>
      <c r="J3735" s="63" t="str">
        <f t="shared" si="118"/>
        <v/>
      </c>
    </row>
    <row r="3736" spans="9:10">
      <c r="I3736" s="62" t="str">
        <f t="shared" si="117"/>
        <v/>
      </c>
      <c r="J3736" s="63" t="str">
        <f t="shared" si="118"/>
        <v/>
      </c>
    </row>
    <row r="3737" spans="9:10">
      <c r="I3737" s="62" t="str">
        <f t="shared" si="117"/>
        <v/>
      </c>
      <c r="J3737" s="63" t="str">
        <f t="shared" si="118"/>
        <v/>
      </c>
    </row>
    <row r="3738" spans="9:10">
      <c r="I3738" s="62" t="str">
        <f t="shared" si="117"/>
        <v/>
      </c>
      <c r="J3738" s="63" t="str">
        <f t="shared" si="118"/>
        <v/>
      </c>
    </row>
    <row r="3739" spans="9:10">
      <c r="I3739" s="62" t="str">
        <f t="shared" si="117"/>
        <v/>
      </c>
      <c r="J3739" s="63" t="str">
        <f t="shared" si="118"/>
        <v/>
      </c>
    </row>
    <row r="3740" spans="9:10">
      <c r="I3740" s="62" t="str">
        <f t="shared" si="117"/>
        <v/>
      </c>
      <c r="J3740" s="63" t="str">
        <f t="shared" si="118"/>
        <v/>
      </c>
    </row>
    <row r="3741" spans="9:10">
      <c r="I3741" s="62" t="str">
        <f t="shared" si="117"/>
        <v/>
      </c>
      <c r="J3741" s="63" t="str">
        <f t="shared" si="118"/>
        <v/>
      </c>
    </row>
    <row r="3742" spans="9:10">
      <c r="I3742" s="62" t="str">
        <f t="shared" si="117"/>
        <v/>
      </c>
      <c r="J3742" s="63" t="str">
        <f t="shared" si="118"/>
        <v/>
      </c>
    </row>
    <row r="3743" spans="9:10">
      <c r="I3743" s="62" t="str">
        <f t="shared" si="117"/>
        <v/>
      </c>
      <c r="J3743" s="63" t="str">
        <f t="shared" si="118"/>
        <v/>
      </c>
    </row>
    <row r="3744" spans="9:10">
      <c r="I3744" s="62" t="str">
        <f t="shared" si="117"/>
        <v/>
      </c>
      <c r="J3744" s="63" t="str">
        <f t="shared" si="118"/>
        <v/>
      </c>
    </row>
    <row r="3745" spans="9:10">
      <c r="I3745" s="62" t="str">
        <f t="shared" si="117"/>
        <v/>
      </c>
      <c r="J3745" s="63" t="str">
        <f t="shared" si="118"/>
        <v/>
      </c>
    </row>
    <row r="3746" spans="9:10">
      <c r="I3746" s="62" t="str">
        <f t="shared" si="117"/>
        <v/>
      </c>
      <c r="J3746" s="63" t="str">
        <f t="shared" si="118"/>
        <v/>
      </c>
    </row>
    <row r="3747" spans="9:10">
      <c r="I3747" s="62" t="str">
        <f t="shared" si="117"/>
        <v/>
      </c>
      <c r="J3747" s="63" t="str">
        <f t="shared" si="118"/>
        <v/>
      </c>
    </row>
    <row r="3748" spans="9:10">
      <c r="I3748" s="62" t="str">
        <f t="shared" si="117"/>
        <v/>
      </c>
      <c r="J3748" s="63" t="str">
        <f t="shared" si="118"/>
        <v/>
      </c>
    </row>
    <row r="3749" spans="9:10">
      <c r="I3749" s="62" t="str">
        <f t="shared" si="117"/>
        <v/>
      </c>
      <c r="J3749" s="63" t="str">
        <f t="shared" si="118"/>
        <v/>
      </c>
    </row>
    <row r="3750" spans="9:10">
      <c r="I3750" s="62" t="str">
        <f t="shared" si="117"/>
        <v/>
      </c>
      <c r="J3750" s="63" t="str">
        <f t="shared" si="118"/>
        <v/>
      </c>
    </row>
    <row r="3751" spans="9:10">
      <c r="I3751" s="62" t="str">
        <f t="shared" si="117"/>
        <v/>
      </c>
      <c r="J3751" s="63" t="str">
        <f t="shared" si="118"/>
        <v/>
      </c>
    </row>
    <row r="3752" spans="9:10">
      <c r="I3752" s="62" t="str">
        <f t="shared" si="117"/>
        <v/>
      </c>
      <c r="J3752" s="63" t="str">
        <f t="shared" si="118"/>
        <v/>
      </c>
    </row>
    <row r="3753" spans="9:10">
      <c r="I3753" s="62" t="str">
        <f t="shared" si="117"/>
        <v/>
      </c>
      <c r="J3753" s="63" t="str">
        <f t="shared" si="118"/>
        <v/>
      </c>
    </row>
    <row r="3754" spans="9:10">
      <c r="I3754" s="62" t="str">
        <f t="shared" si="117"/>
        <v/>
      </c>
      <c r="J3754" s="63" t="str">
        <f t="shared" si="118"/>
        <v/>
      </c>
    </row>
    <row r="3755" spans="9:10">
      <c r="I3755" s="62" t="str">
        <f t="shared" si="117"/>
        <v/>
      </c>
      <c r="J3755" s="63" t="str">
        <f t="shared" si="118"/>
        <v/>
      </c>
    </row>
    <row r="3756" spans="9:10">
      <c r="I3756" s="62" t="str">
        <f t="shared" si="117"/>
        <v/>
      </c>
      <c r="J3756" s="63" t="str">
        <f t="shared" si="118"/>
        <v/>
      </c>
    </row>
    <row r="3757" spans="9:10">
      <c r="I3757" s="62" t="str">
        <f t="shared" si="117"/>
        <v/>
      </c>
      <c r="J3757" s="63" t="str">
        <f t="shared" si="118"/>
        <v/>
      </c>
    </row>
    <row r="3758" spans="9:10">
      <c r="I3758" s="62" t="str">
        <f t="shared" si="117"/>
        <v/>
      </c>
      <c r="J3758" s="63" t="str">
        <f t="shared" si="118"/>
        <v/>
      </c>
    </row>
    <row r="3759" spans="9:10">
      <c r="I3759" s="62" t="str">
        <f t="shared" si="117"/>
        <v/>
      </c>
      <c r="J3759" s="63" t="str">
        <f t="shared" si="118"/>
        <v/>
      </c>
    </row>
    <row r="3760" spans="9:10">
      <c r="I3760" s="62" t="str">
        <f t="shared" si="117"/>
        <v/>
      </c>
      <c r="J3760" s="63" t="str">
        <f t="shared" si="118"/>
        <v/>
      </c>
    </row>
    <row r="3761" spans="9:10">
      <c r="I3761" s="62" t="str">
        <f t="shared" si="117"/>
        <v/>
      </c>
      <c r="J3761" s="63" t="str">
        <f t="shared" si="118"/>
        <v/>
      </c>
    </row>
    <row r="3762" spans="9:10">
      <c r="I3762" s="62" t="str">
        <f t="shared" si="117"/>
        <v/>
      </c>
      <c r="J3762" s="63" t="str">
        <f t="shared" si="118"/>
        <v/>
      </c>
    </row>
    <row r="3763" spans="9:10">
      <c r="I3763" s="62" t="str">
        <f t="shared" si="117"/>
        <v/>
      </c>
      <c r="J3763" s="63" t="str">
        <f t="shared" si="118"/>
        <v/>
      </c>
    </row>
    <row r="3764" spans="9:10">
      <c r="I3764" s="62" t="str">
        <f t="shared" si="117"/>
        <v/>
      </c>
      <c r="J3764" s="63" t="str">
        <f t="shared" si="118"/>
        <v/>
      </c>
    </row>
    <row r="3765" spans="9:10">
      <c r="I3765" s="62" t="str">
        <f t="shared" si="117"/>
        <v/>
      </c>
      <c r="J3765" s="63" t="str">
        <f t="shared" si="118"/>
        <v/>
      </c>
    </row>
    <row r="3766" spans="9:10">
      <c r="I3766" s="62" t="str">
        <f t="shared" si="117"/>
        <v/>
      </c>
      <c r="J3766" s="63" t="str">
        <f t="shared" si="118"/>
        <v/>
      </c>
    </row>
    <row r="3767" spans="9:10">
      <c r="I3767" s="62" t="str">
        <f t="shared" si="117"/>
        <v/>
      </c>
      <c r="J3767" s="63" t="str">
        <f t="shared" si="118"/>
        <v/>
      </c>
    </row>
    <row r="3768" spans="9:10">
      <c r="I3768" s="62" t="str">
        <f t="shared" si="117"/>
        <v/>
      </c>
      <c r="J3768" s="63" t="str">
        <f t="shared" si="118"/>
        <v/>
      </c>
    </row>
    <row r="3769" spans="9:10">
      <c r="I3769" s="62" t="str">
        <f t="shared" si="117"/>
        <v/>
      </c>
      <c r="J3769" s="63" t="str">
        <f t="shared" si="118"/>
        <v/>
      </c>
    </row>
    <row r="3770" spans="9:10">
      <c r="I3770" s="62" t="str">
        <f t="shared" si="117"/>
        <v/>
      </c>
      <c r="J3770" s="63" t="str">
        <f t="shared" si="118"/>
        <v/>
      </c>
    </row>
    <row r="3771" spans="9:10">
      <c r="I3771" s="62" t="str">
        <f t="shared" si="117"/>
        <v/>
      </c>
      <c r="J3771" s="63" t="str">
        <f t="shared" si="118"/>
        <v/>
      </c>
    </row>
    <row r="3772" spans="9:10">
      <c r="I3772" s="62" t="str">
        <f t="shared" si="117"/>
        <v/>
      </c>
      <c r="J3772" s="63" t="str">
        <f t="shared" si="118"/>
        <v/>
      </c>
    </row>
    <row r="3773" spans="9:10">
      <c r="I3773" s="62" t="str">
        <f t="shared" si="117"/>
        <v/>
      </c>
      <c r="J3773" s="63" t="str">
        <f t="shared" si="118"/>
        <v/>
      </c>
    </row>
    <row r="3774" spans="9:10">
      <c r="I3774" s="62" t="str">
        <f t="shared" si="117"/>
        <v/>
      </c>
      <c r="J3774" s="63" t="str">
        <f t="shared" si="118"/>
        <v/>
      </c>
    </row>
    <row r="3775" spans="9:10">
      <c r="I3775" s="62" t="str">
        <f t="shared" si="117"/>
        <v/>
      </c>
      <c r="J3775" s="63" t="str">
        <f t="shared" si="118"/>
        <v/>
      </c>
    </row>
    <row r="3776" spans="9:10">
      <c r="I3776" s="62" t="str">
        <f t="shared" si="117"/>
        <v/>
      </c>
      <c r="J3776" s="63" t="str">
        <f t="shared" si="118"/>
        <v/>
      </c>
    </row>
    <row r="3777" spans="9:10">
      <c r="I3777" s="62" t="str">
        <f t="shared" si="117"/>
        <v/>
      </c>
      <c r="J3777" s="63" t="str">
        <f t="shared" si="118"/>
        <v/>
      </c>
    </row>
    <row r="3778" spans="9:10">
      <c r="I3778" s="62" t="str">
        <f t="shared" si="117"/>
        <v/>
      </c>
      <c r="J3778" s="63" t="str">
        <f t="shared" si="118"/>
        <v/>
      </c>
    </row>
    <row r="3779" spans="9:10">
      <c r="I3779" s="62" t="str">
        <f t="shared" si="117"/>
        <v/>
      </c>
      <c r="J3779" s="63" t="str">
        <f t="shared" si="118"/>
        <v/>
      </c>
    </row>
    <row r="3780" spans="9:10">
      <c r="I3780" s="62" t="str">
        <f t="shared" si="117"/>
        <v/>
      </c>
      <c r="J3780" s="63" t="str">
        <f t="shared" si="118"/>
        <v/>
      </c>
    </row>
    <row r="3781" spans="9:10">
      <c r="I3781" s="62" t="str">
        <f t="shared" si="117"/>
        <v/>
      </c>
      <c r="J3781" s="63" t="str">
        <f t="shared" si="118"/>
        <v/>
      </c>
    </row>
    <row r="3782" spans="9:10">
      <c r="I3782" s="62" t="str">
        <f t="shared" si="117"/>
        <v/>
      </c>
      <c r="J3782" s="63" t="str">
        <f t="shared" si="118"/>
        <v/>
      </c>
    </row>
    <row r="3783" spans="9:10">
      <c r="I3783" s="62" t="str">
        <f t="shared" si="117"/>
        <v/>
      </c>
      <c r="J3783" s="63" t="str">
        <f t="shared" si="118"/>
        <v/>
      </c>
    </row>
    <row r="3784" spans="9:10">
      <c r="I3784" s="62" t="str">
        <f t="shared" si="117"/>
        <v/>
      </c>
      <c r="J3784" s="63" t="str">
        <f t="shared" si="118"/>
        <v/>
      </c>
    </row>
    <row r="3785" spans="9:10">
      <c r="I3785" s="62" t="str">
        <f t="shared" si="117"/>
        <v/>
      </c>
      <c r="J3785" s="63" t="str">
        <f t="shared" si="118"/>
        <v/>
      </c>
    </row>
    <row r="3786" spans="9:10">
      <c r="I3786" s="62" t="str">
        <f t="shared" si="117"/>
        <v/>
      </c>
      <c r="J3786" s="63" t="str">
        <f t="shared" si="118"/>
        <v/>
      </c>
    </row>
    <row r="3787" spans="9:10">
      <c r="I3787" s="62" t="str">
        <f t="shared" si="117"/>
        <v/>
      </c>
      <c r="J3787" s="63" t="str">
        <f t="shared" si="118"/>
        <v/>
      </c>
    </row>
    <row r="3788" spans="9:10">
      <c r="I3788" s="62" t="str">
        <f t="shared" ref="I3788:I3851" si="119">IF(B3788="","",IF(B3788="Total",I3786,IF(B3786="Total",I3786, IF(ISNUMBER(A3788),A3788,I3787))))</f>
        <v/>
      </c>
      <c r="J3788" s="63" t="str">
        <f t="shared" si="118"/>
        <v/>
      </c>
    </row>
    <row r="3789" spans="9:10">
      <c r="I3789" s="62" t="str">
        <f t="shared" si="119"/>
        <v/>
      </c>
      <c r="J3789" s="63" t="str">
        <f t="shared" si="118"/>
        <v/>
      </c>
    </row>
    <row r="3790" spans="9:10">
      <c r="I3790" s="62" t="str">
        <f t="shared" si="119"/>
        <v/>
      </c>
      <c r="J3790" s="63" t="str">
        <f t="shared" si="118"/>
        <v/>
      </c>
    </row>
    <row r="3791" spans="9:10">
      <c r="I3791" s="62" t="str">
        <f t="shared" si="119"/>
        <v/>
      </c>
      <c r="J3791" s="63" t="str">
        <f t="shared" ref="J3791:J3854" si="120">IF(B3791="","",IF(B3791="Total",J3789,IF(B3789="Total",J3789,IF(A3791="",J3790,IF(ISNUMBER(A3790),B3790,IF(ISNUMBER(A3791),B3791,J3790))))))</f>
        <v/>
      </c>
    </row>
    <row r="3792" spans="9:10">
      <c r="I3792" s="62" t="str">
        <f t="shared" si="119"/>
        <v/>
      </c>
      <c r="J3792" s="63" t="str">
        <f t="shared" si="120"/>
        <v/>
      </c>
    </row>
    <row r="3793" spans="9:10">
      <c r="I3793" s="62" t="str">
        <f t="shared" si="119"/>
        <v/>
      </c>
      <c r="J3793" s="63" t="str">
        <f t="shared" si="120"/>
        <v/>
      </c>
    </row>
    <row r="3794" spans="9:10">
      <c r="I3794" s="62" t="str">
        <f t="shared" si="119"/>
        <v/>
      </c>
      <c r="J3794" s="63" t="str">
        <f t="shared" si="120"/>
        <v/>
      </c>
    </row>
    <row r="3795" spans="9:10">
      <c r="I3795" s="62" t="str">
        <f t="shared" si="119"/>
        <v/>
      </c>
      <c r="J3795" s="63" t="str">
        <f t="shared" si="120"/>
        <v/>
      </c>
    </row>
    <row r="3796" spans="9:10">
      <c r="I3796" s="62" t="str">
        <f t="shared" si="119"/>
        <v/>
      </c>
      <c r="J3796" s="63" t="str">
        <f t="shared" si="120"/>
        <v/>
      </c>
    </row>
    <row r="3797" spans="9:10">
      <c r="I3797" s="62" t="str">
        <f t="shared" si="119"/>
        <v/>
      </c>
      <c r="J3797" s="63" t="str">
        <f t="shared" si="120"/>
        <v/>
      </c>
    </row>
    <row r="3798" spans="9:10">
      <c r="I3798" s="62" t="str">
        <f t="shared" si="119"/>
        <v/>
      </c>
      <c r="J3798" s="63" t="str">
        <f t="shared" si="120"/>
        <v/>
      </c>
    </row>
    <row r="3799" spans="9:10">
      <c r="I3799" s="62" t="str">
        <f t="shared" si="119"/>
        <v/>
      </c>
      <c r="J3799" s="63" t="str">
        <f t="shared" si="120"/>
        <v/>
      </c>
    </row>
    <row r="3800" spans="9:10">
      <c r="I3800" s="62" t="str">
        <f t="shared" si="119"/>
        <v/>
      </c>
      <c r="J3800" s="63" t="str">
        <f t="shared" si="120"/>
        <v/>
      </c>
    </row>
    <row r="3801" spans="9:10">
      <c r="I3801" s="62" t="str">
        <f t="shared" si="119"/>
        <v/>
      </c>
      <c r="J3801" s="63" t="str">
        <f t="shared" si="120"/>
        <v/>
      </c>
    </row>
    <row r="3802" spans="9:10">
      <c r="I3802" s="62" t="str">
        <f t="shared" si="119"/>
        <v/>
      </c>
      <c r="J3802" s="63" t="str">
        <f t="shared" si="120"/>
        <v/>
      </c>
    </row>
    <row r="3803" spans="9:10">
      <c r="I3803" s="62" t="str">
        <f t="shared" si="119"/>
        <v/>
      </c>
      <c r="J3803" s="63" t="str">
        <f t="shared" si="120"/>
        <v/>
      </c>
    </row>
    <row r="3804" spans="9:10">
      <c r="I3804" s="62" t="str">
        <f t="shared" si="119"/>
        <v/>
      </c>
      <c r="J3804" s="63" t="str">
        <f t="shared" si="120"/>
        <v/>
      </c>
    </row>
    <row r="3805" spans="9:10">
      <c r="I3805" s="62" t="str">
        <f t="shared" si="119"/>
        <v/>
      </c>
      <c r="J3805" s="63" t="str">
        <f t="shared" si="120"/>
        <v/>
      </c>
    </row>
    <row r="3806" spans="9:10">
      <c r="I3806" s="62" t="str">
        <f t="shared" si="119"/>
        <v/>
      </c>
      <c r="J3806" s="63" t="str">
        <f t="shared" si="120"/>
        <v/>
      </c>
    </row>
    <row r="3807" spans="9:10">
      <c r="I3807" s="62" t="str">
        <f t="shared" si="119"/>
        <v/>
      </c>
      <c r="J3807" s="63" t="str">
        <f t="shared" si="120"/>
        <v/>
      </c>
    </row>
    <row r="3808" spans="9:10">
      <c r="I3808" s="62" t="str">
        <f t="shared" si="119"/>
        <v/>
      </c>
      <c r="J3808" s="63" t="str">
        <f t="shared" si="120"/>
        <v/>
      </c>
    </row>
    <row r="3809" spans="9:10">
      <c r="I3809" s="62" t="str">
        <f t="shared" si="119"/>
        <v/>
      </c>
      <c r="J3809" s="63" t="str">
        <f t="shared" si="120"/>
        <v/>
      </c>
    </row>
    <row r="3810" spans="9:10">
      <c r="I3810" s="62" t="str">
        <f t="shared" si="119"/>
        <v/>
      </c>
      <c r="J3810" s="63" t="str">
        <f t="shared" si="120"/>
        <v/>
      </c>
    </row>
    <row r="3811" spans="9:10">
      <c r="I3811" s="62" t="str">
        <f t="shared" si="119"/>
        <v/>
      </c>
      <c r="J3811" s="63" t="str">
        <f t="shared" si="120"/>
        <v/>
      </c>
    </row>
    <row r="3812" spans="9:10">
      <c r="I3812" s="62" t="str">
        <f t="shared" si="119"/>
        <v/>
      </c>
      <c r="J3812" s="63" t="str">
        <f t="shared" si="120"/>
        <v/>
      </c>
    </row>
    <row r="3813" spans="9:10">
      <c r="I3813" s="62" t="str">
        <f t="shared" si="119"/>
        <v/>
      </c>
      <c r="J3813" s="63" t="str">
        <f t="shared" si="120"/>
        <v/>
      </c>
    </row>
    <row r="3814" spans="9:10">
      <c r="I3814" s="62" t="str">
        <f t="shared" si="119"/>
        <v/>
      </c>
      <c r="J3814" s="63" t="str">
        <f t="shared" si="120"/>
        <v/>
      </c>
    </row>
    <row r="3815" spans="9:10">
      <c r="I3815" s="62" t="str">
        <f t="shared" si="119"/>
        <v/>
      </c>
      <c r="J3815" s="63" t="str">
        <f t="shared" si="120"/>
        <v/>
      </c>
    </row>
    <row r="3816" spans="9:10">
      <c r="I3816" s="62" t="str">
        <f t="shared" si="119"/>
        <v/>
      </c>
      <c r="J3816" s="63" t="str">
        <f t="shared" si="120"/>
        <v/>
      </c>
    </row>
    <row r="3817" spans="9:10">
      <c r="I3817" s="62" t="str">
        <f t="shared" si="119"/>
        <v/>
      </c>
      <c r="J3817" s="63" t="str">
        <f t="shared" si="120"/>
        <v/>
      </c>
    </row>
    <row r="3818" spans="9:10">
      <c r="I3818" s="62" t="str">
        <f t="shared" si="119"/>
        <v/>
      </c>
      <c r="J3818" s="63" t="str">
        <f t="shared" si="120"/>
        <v/>
      </c>
    </row>
    <row r="3819" spans="9:10">
      <c r="I3819" s="62" t="str">
        <f t="shared" si="119"/>
        <v/>
      </c>
      <c r="J3819" s="63" t="str">
        <f t="shared" si="120"/>
        <v/>
      </c>
    </row>
    <row r="3820" spans="9:10">
      <c r="I3820" s="62" t="str">
        <f t="shared" si="119"/>
        <v/>
      </c>
      <c r="J3820" s="63" t="str">
        <f t="shared" si="120"/>
        <v/>
      </c>
    </row>
    <row r="3821" spans="9:10">
      <c r="I3821" s="62" t="str">
        <f t="shared" si="119"/>
        <v/>
      </c>
      <c r="J3821" s="63" t="str">
        <f t="shared" si="120"/>
        <v/>
      </c>
    </row>
    <row r="3822" spans="9:10">
      <c r="I3822" s="62" t="str">
        <f t="shared" si="119"/>
        <v/>
      </c>
      <c r="J3822" s="63" t="str">
        <f t="shared" si="120"/>
        <v/>
      </c>
    </row>
    <row r="3823" spans="9:10">
      <c r="I3823" s="62" t="str">
        <f t="shared" si="119"/>
        <v/>
      </c>
      <c r="J3823" s="63" t="str">
        <f t="shared" si="120"/>
        <v/>
      </c>
    </row>
    <row r="3824" spans="9:10">
      <c r="I3824" s="62" t="str">
        <f t="shared" si="119"/>
        <v/>
      </c>
      <c r="J3824" s="63" t="str">
        <f t="shared" si="120"/>
        <v/>
      </c>
    </row>
    <row r="3825" spans="9:10">
      <c r="I3825" s="62" t="str">
        <f t="shared" si="119"/>
        <v/>
      </c>
      <c r="J3825" s="63" t="str">
        <f t="shared" si="120"/>
        <v/>
      </c>
    </row>
    <row r="3826" spans="9:10">
      <c r="I3826" s="62" t="str">
        <f t="shared" si="119"/>
        <v/>
      </c>
      <c r="J3826" s="63" t="str">
        <f t="shared" si="120"/>
        <v/>
      </c>
    </row>
    <row r="3827" spans="9:10">
      <c r="I3827" s="62" t="str">
        <f t="shared" si="119"/>
        <v/>
      </c>
      <c r="J3827" s="63" t="str">
        <f t="shared" si="120"/>
        <v/>
      </c>
    </row>
    <row r="3828" spans="9:10">
      <c r="I3828" s="62" t="str">
        <f t="shared" si="119"/>
        <v/>
      </c>
      <c r="J3828" s="63" t="str">
        <f t="shared" si="120"/>
        <v/>
      </c>
    </row>
    <row r="3829" spans="9:10">
      <c r="I3829" s="62" t="str">
        <f t="shared" si="119"/>
        <v/>
      </c>
      <c r="J3829" s="63" t="str">
        <f t="shared" si="120"/>
        <v/>
      </c>
    </row>
    <row r="3830" spans="9:10">
      <c r="I3830" s="62" t="str">
        <f t="shared" si="119"/>
        <v/>
      </c>
      <c r="J3830" s="63" t="str">
        <f t="shared" si="120"/>
        <v/>
      </c>
    </row>
    <row r="3831" spans="9:10">
      <c r="I3831" s="62" t="str">
        <f t="shared" si="119"/>
        <v/>
      </c>
      <c r="J3831" s="63" t="str">
        <f t="shared" si="120"/>
        <v/>
      </c>
    </row>
    <row r="3832" spans="9:10">
      <c r="I3832" s="62" t="str">
        <f t="shared" si="119"/>
        <v/>
      </c>
      <c r="J3832" s="63" t="str">
        <f t="shared" si="120"/>
        <v/>
      </c>
    </row>
    <row r="3833" spans="9:10">
      <c r="I3833" s="62" t="str">
        <f t="shared" si="119"/>
        <v/>
      </c>
      <c r="J3833" s="63" t="str">
        <f t="shared" si="120"/>
        <v/>
      </c>
    </row>
    <row r="3834" spans="9:10">
      <c r="I3834" s="62" t="str">
        <f t="shared" si="119"/>
        <v/>
      </c>
      <c r="J3834" s="63" t="str">
        <f t="shared" si="120"/>
        <v/>
      </c>
    </row>
    <row r="3835" spans="9:10">
      <c r="I3835" s="62" t="str">
        <f t="shared" si="119"/>
        <v/>
      </c>
      <c r="J3835" s="63" t="str">
        <f t="shared" si="120"/>
        <v/>
      </c>
    </row>
    <row r="3836" spans="9:10">
      <c r="I3836" s="62" t="str">
        <f t="shared" si="119"/>
        <v/>
      </c>
      <c r="J3836" s="63" t="str">
        <f t="shared" si="120"/>
        <v/>
      </c>
    </row>
    <row r="3837" spans="9:10">
      <c r="I3837" s="62" t="str">
        <f t="shared" si="119"/>
        <v/>
      </c>
      <c r="J3837" s="63" t="str">
        <f t="shared" si="120"/>
        <v/>
      </c>
    </row>
    <row r="3838" spans="9:10">
      <c r="I3838" s="62" t="str">
        <f t="shared" si="119"/>
        <v/>
      </c>
      <c r="J3838" s="63" t="str">
        <f t="shared" si="120"/>
        <v/>
      </c>
    </row>
    <row r="3839" spans="9:10">
      <c r="I3839" s="62" t="str">
        <f t="shared" si="119"/>
        <v/>
      </c>
      <c r="J3839" s="63" t="str">
        <f t="shared" si="120"/>
        <v/>
      </c>
    </row>
    <row r="3840" spans="9:10">
      <c r="I3840" s="62" t="str">
        <f t="shared" si="119"/>
        <v/>
      </c>
      <c r="J3840" s="63" t="str">
        <f t="shared" si="120"/>
        <v/>
      </c>
    </row>
    <row r="3841" spans="9:10">
      <c r="I3841" s="62" t="str">
        <f t="shared" si="119"/>
        <v/>
      </c>
      <c r="J3841" s="63" t="str">
        <f t="shared" si="120"/>
        <v/>
      </c>
    </row>
    <row r="3842" spans="9:10">
      <c r="I3842" s="62" t="str">
        <f t="shared" si="119"/>
        <v/>
      </c>
      <c r="J3842" s="63" t="str">
        <f t="shared" si="120"/>
        <v/>
      </c>
    </row>
    <row r="3843" spans="9:10">
      <c r="I3843" s="62" t="str">
        <f t="shared" si="119"/>
        <v/>
      </c>
      <c r="J3843" s="63" t="str">
        <f t="shared" si="120"/>
        <v/>
      </c>
    </row>
    <row r="3844" spans="9:10">
      <c r="I3844" s="62" t="str">
        <f t="shared" si="119"/>
        <v/>
      </c>
      <c r="J3844" s="63" t="str">
        <f t="shared" si="120"/>
        <v/>
      </c>
    </row>
    <row r="3845" spans="9:10">
      <c r="I3845" s="62" t="str">
        <f t="shared" si="119"/>
        <v/>
      </c>
      <c r="J3845" s="63" t="str">
        <f t="shared" si="120"/>
        <v/>
      </c>
    </row>
    <row r="3846" spans="9:10">
      <c r="I3846" s="62" t="str">
        <f t="shared" si="119"/>
        <v/>
      </c>
      <c r="J3846" s="63" t="str">
        <f t="shared" si="120"/>
        <v/>
      </c>
    </row>
    <row r="3847" spans="9:10">
      <c r="I3847" s="62" t="str">
        <f t="shared" si="119"/>
        <v/>
      </c>
      <c r="J3847" s="63" t="str">
        <f t="shared" si="120"/>
        <v/>
      </c>
    </row>
    <row r="3848" spans="9:10">
      <c r="I3848" s="62" t="str">
        <f t="shared" si="119"/>
        <v/>
      </c>
      <c r="J3848" s="63" t="str">
        <f t="shared" si="120"/>
        <v/>
      </c>
    </row>
    <row r="3849" spans="9:10">
      <c r="I3849" s="62" t="str">
        <f t="shared" si="119"/>
        <v/>
      </c>
      <c r="J3849" s="63" t="str">
        <f t="shared" si="120"/>
        <v/>
      </c>
    </row>
    <row r="3850" spans="9:10">
      <c r="I3850" s="62" t="str">
        <f t="shared" si="119"/>
        <v/>
      </c>
      <c r="J3850" s="63" t="str">
        <f t="shared" si="120"/>
        <v/>
      </c>
    </row>
    <row r="3851" spans="9:10">
      <c r="I3851" s="62" t="str">
        <f t="shared" si="119"/>
        <v/>
      </c>
      <c r="J3851" s="63" t="str">
        <f t="shared" si="120"/>
        <v/>
      </c>
    </row>
    <row r="3852" spans="9:10">
      <c r="I3852" s="62" t="str">
        <f t="shared" ref="I3852:I3915" si="121">IF(B3852="","",IF(B3852="Total",I3850,IF(B3850="Total",I3850, IF(ISNUMBER(A3852),A3852,I3851))))</f>
        <v/>
      </c>
      <c r="J3852" s="63" t="str">
        <f t="shared" si="120"/>
        <v/>
      </c>
    </row>
    <row r="3853" spans="9:10">
      <c r="I3853" s="62" t="str">
        <f t="shared" si="121"/>
        <v/>
      </c>
      <c r="J3853" s="63" t="str">
        <f t="shared" si="120"/>
        <v/>
      </c>
    </row>
    <row r="3854" spans="9:10">
      <c r="I3854" s="62" t="str">
        <f t="shared" si="121"/>
        <v/>
      </c>
      <c r="J3854" s="63" t="str">
        <f t="shared" si="120"/>
        <v/>
      </c>
    </row>
    <row r="3855" spans="9:10">
      <c r="I3855" s="62" t="str">
        <f t="shared" si="121"/>
        <v/>
      </c>
      <c r="J3855" s="63" t="str">
        <f t="shared" ref="J3855:J3918" si="122">IF(B3855="","",IF(B3855="Total",J3853,IF(B3853="Total",J3853,IF(A3855="",J3854,IF(ISNUMBER(A3854),B3854,IF(ISNUMBER(A3855),B3855,J3854))))))</f>
        <v/>
      </c>
    </row>
    <row r="3856" spans="9:10">
      <c r="I3856" s="62" t="str">
        <f t="shared" si="121"/>
        <v/>
      </c>
      <c r="J3856" s="63" t="str">
        <f t="shared" si="122"/>
        <v/>
      </c>
    </row>
    <row r="3857" spans="9:10">
      <c r="I3857" s="62" t="str">
        <f t="shared" si="121"/>
        <v/>
      </c>
      <c r="J3857" s="63" t="str">
        <f t="shared" si="122"/>
        <v/>
      </c>
    </row>
    <row r="3858" spans="9:10">
      <c r="I3858" s="62" t="str">
        <f t="shared" si="121"/>
        <v/>
      </c>
      <c r="J3858" s="63" t="str">
        <f t="shared" si="122"/>
        <v/>
      </c>
    </row>
    <row r="3859" spans="9:10">
      <c r="I3859" s="62" t="str">
        <f t="shared" si="121"/>
        <v/>
      </c>
      <c r="J3859" s="63" t="str">
        <f t="shared" si="122"/>
        <v/>
      </c>
    </row>
    <row r="3860" spans="9:10">
      <c r="I3860" s="62" t="str">
        <f t="shared" si="121"/>
        <v/>
      </c>
      <c r="J3860" s="63" t="str">
        <f t="shared" si="122"/>
        <v/>
      </c>
    </row>
    <row r="3861" spans="9:10">
      <c r="I3861" s="62" t="str">
        <f t="shared" si="121"/>
        <v/>
      </c>
      <c r="J3861" s="63" t="str">
        <f t="shared" si="122"/>
        <v/>
      </c>
    </row>
    <row r="3862" spans="9:10">
      <c r="I3862" s="62" t="str">
        <f t="shared" si="121"/>
        <v/>
      </c>
      <c r="J3862" s="63" t="str">
        <f t="shared" si="122"/>
        <v/>
      </c>
    </row>
    <row r="3863" spans="9:10">
      <c r="I3863" s="62" t="str">
        <f t="shared" si="121"/>
        <v/>
      </c>
      <c r="J3863" s="63" t="str">
        <f t="shared" si="122"/>
        <v/>
      </c>
    </row>
    <row r="3864" spans="9:10">
      <c r="I3864" s="62" t="str">
        <f t="shared" si="121"/>
        <v/>
      </c>
      <c r="J3864" s="63" t="str">
        <f t="shared" si="122"/>
        <v/>
      </c>
    </row>
    <row r="3865" spans="9:10">
      <c r="I3865" s="62" t="str">
        <f t="shared" si="121"/>
        <v/>
      </c>
      <c r="J3865" s="63" t="str">
        <f t="shared" si="122"/>
        <v/>
      </c>
    </row>
    <row r="3866" spans="9:10">
      <c r="I3866" s="62" t="str">
        <f t="shared" si="121"/>
        <v/>
      </c>
      <c r="J3866" s="63" t="str">
        <f t="shared" si="122"/>
        <v/>
      </c>
    </row>
    <row r="3867" spans="9:10">
      <c r="I3867" s="62" t="str">
        <f t="shared" si="121"/>
        <v/>
      </c>
      <c r="J3867" s="63" t="str">
        <f t="shared" si="122"/>
        <v/>
      </c>
    </row>
    <row r="3868" spans="9:10">
      <c r="I3868" s="62" t="str">
        <f t="shared" si="121"/>
        <v/>
      </c>
      <c r="J3868" s="63" t="str">
        <f t="shared" si="122"/>
        <v/>
      </c>
    </row>
    <row r="3869" spans="9:10">
      <c r="I3869" s="62" t="str">
        <f t="shared" si="121"/>
        <v/>
      </c>
      <c r="J3869" s="63" t="str">
        <f t="shared" si="122"/>
        <v/>
      </c>
    </row>
    <row r="3870" spans="9:10">
      <c r="I3870" s="62" t="str">
        <f t="shared" si="121"/>
        <v/>
      </c>
      <c r="J3870" s="63" t="str">
        <f t="shared" si="122"/>
        <v/>
      </c>
    </row>
    <row r="3871" spans="9:10">
      <c r="I3871" s="62" t="str">
        <f t="shared" si="121"/>
        <v/>
      </c>
      <c r="J3871" s="63" t="str">
        <f t="shared" si="122"/>
        <v/>
      </c>
    </row>
    <row r="3872" spans="9:10">
      <c r="I3872" s="62" t="str">
        <f t="shared" si="121"/>
        <v/>
      </c>
      <c r="J3872" s="63" t="str">
        <f t="shared" si="122"/>
        <v/>
      </c>
    </row>
    <row r="3873" spans="9:10">
      <c r="I3873" s="62" t="str">
        <f t="shared" si="121"/>
        <v/>
      </c>
      <c r="J3873" s="63" t="str">
        <f t="shared" si="122"/>
        <v/>
      </c>
    </row>
    <row r="3874" spans="9:10">
      <c r="I3874" s="62" t="str">
        <f t="shared" si="121"/>
        <v/>
      </c>
      <c r="J3874" s="63" t="str">
        <f t="shared" si="122"/>
        <v/>
      </c>
    </row>
    <row r="3875" spans="9:10">
      <c r="I3875" s="62" t="str">
        <f t="shared" si="121"/>
        <v/>
      </c>
      <c r="J3875" s="63" t="str">
        <f t="shared" si="122"/>
        <v/>
      </c>
    </row>
    <row r="3876" spans="9:10">
      <c r="I3876" s="62" t="str">
        <f t="shared" si="121"/>
        <v/>
      </c>
      <c r="J3876" s="63" t="str">
        <f t="shared" si="122"/>
        <v/>
      </c>
    </row>
    <row r="3877" spans="9:10">
      <c r="I3877" s="62" t="str">
        <f t="shared" si="121"/>
        <v/>
      </c>
      <c r="J3877" s="63" t="str">
        <f t="shared" si="122"/>
        <v/>
      </c>
    </row>
    <row r="3878" spans="9:10">
      <c r="I3878" s="62" t="str">
        <f t="shared" si="121"/>
        <v/>
      </c>
      <c r="J3878" s="63" t="str">
        <f t="shared" si="122"/>
        <v/>
      </c>
    </row>
    <row r="3879" spans="9:10">
      <c r="I3879" s="62" t="str">
        <f t="shared" si="121"/>
        <v/>
      </c>
      <c r="J3879" s="63" t="str">
        <f t="shared" si="122"/>
        <v/>
      </c>
    </row>
    <row r="3880" spans="9:10">
      <c r="I3880" s="62" t="str">
        <f t="shared" si="121"/>
        <v/>
      </c>
      <c r="J3880" s="63" t="str">
        <f t="shared" si="122"/>
        <v/>
      </c>
    </row>
    <row r="3881" spans="9:10">
      <c r="I3881" s="62" t="str">
        <f t="shared" si="121"/>
        <v/>
      </c>
      <c r="J3881" s="63" t="str">
        <f t="shared" si="122"/>
        <v/>
      </c>
    </row>
    <row r="3882" spans="9:10">
      <c r="I3882" s="62" t="str">
        <f t="shared" si="121"/>
        <v/>
      </c>
      <c r="J3882" s="63" t="str">
        <f t="shared" si="122"/>
        <v/>
      </c>
    </row>
    <row r="3883" spans="9:10">
      <c r="I3883" s="62" t="str">
        <f t="shared" si="121"/>
        <v/>
      </c>
      <c r="J3883" s="63" t="str">
        <f t="shared" si="122"/>
        <v/>
      </c>
    </row>
    <row r="3884" spans="9:10">
      <c r="I3884" s="62" t="str">
        <f t="shared" si="121"/>
        <v/>
      </c>
      <c r="J3884" s="63" t="str">
        <f t="shared" si="122"/>
        <v/>
      </c>
    </row>
    <row r="3885" spans="9:10">
      <c r="I3885" s="62" t="str">
        <f t="shared" si="121"/>
        <v/>
      </c>
      <c r="J3885" s="63" t="str">
        <f t="shared" si="122"/>
        <v/>
      </c>
    </row>
    <row r="3886" spans="9:10">
      <c r="I3886" s="62" t="str">
        <f t="shared" si="121"/>
        <v/>
      </c>
      <c r="J3886" s="63" t="str">
        <f t="shared" si="122"/>
        <v/>
      </c>
    </row>
    <row r="3887" spans="9:10">
      <c r="I3887" s="62" t="str">
        <f t="shared" si="121"/>
        <v/>
      </c>
      <c r="J3887" s="63" t="str">
        <f t="shared" si="122"/>
        <v/>
      </c>
    </row>
    <row r="3888" spans="9:10">
      <c r="I3888" s="62" t="str">
        <f t="shared" si="121"/>
        <v/>
      </c>
      <c r="J3888" s="63" t="str">
        <f t="shared" si="122"/>
        <v/>
      </c>
    </row>
    <row r="3889" spans="9:10">
      <c r="I3889" s="62" t="str">
        <f t="shared" si="121"/>
        <v/>
      </c>
      <c r="J3889" s="63" t="str">
        <f t="shared" si="122"/>
        <v/>
      </c>
    </row>
    <row r="3890" spans="9:10">
      <c r="I3890" s="62" t="str">
        <f t="shared" si="121"/>
        <v/>
      </c>
      <c r="J3890" s="63" t="str">
        <f t="shared" si="122"/>
        <v/>
      </c>
    </row>
    <row r="3891" spans="9:10">
      <c r="I3891" s="62" t="str">
        <f t="shared" si="121"/>
        <v/>
      </c>
      <c r="J3891" s="63" t="str">
        <f t="shared" si="122"/>
        <v/>
      </c>
    </row>
    <row r="3892" spans="9:10">
      <c r="I3892" s="62" t="str">
        <f t="shared" si="121"/>
        <v/>
      </c>
      <c r="J3892" s="63" t="str">
        <f t="shared" si="122"/>
        <v/>
      </c>
    </row>
    <row r="3893" spans="9:10">
      <c r="I3893" s="62" t="str">
        <f t="shared" si="121"/>
        <v/>
      </c>
      <c r="J3893" s="63" t="str">
        <f t="shared" si="122"/>
        <v/>
      </c>
    </row>
    <row r="3894" spans="9:10">
      <c r="I3894" s="62" t="str">
        <f t="shared" si="121"/>
        <v/>
      </c>
      <c r="J3894" s="63" t="str">
        <f t="shared" si="122"/>
        <v/>
      </c>
    </row>
    <row r="3895" spans="9:10">
      <c r="I3895" s="62" t="str">
        <f t="shared" si="121"/>
        <v/>
      </c>
      <c r="J3895" s="63" t="str">
        <f t="shared" si="122"/>
        <v/>
      </c>
    </row>
    <row r="3896" spans="9:10">
      <c r="I3896" s="62" t="str">
        <f t="shared" si="121"/>
        <v/>
      </c>
      <c r="J3896" s="63" t="str">
        <f t="shared" si="122"/>
        <v/>
      </c>
    </row>
    <row r="3897" spans="9:10">
      <c r="I3897" s="62" t="str">
        <f t="shared" si="121"/>
        <v/>
      </c>
      <c r="J3897" s="63" t="str">
        <f t="shared" si="122"/>
        <v/>
      </c>
    </row>
    <row r="3898" spans="9:10">
      <c r="I3898" s="62" t="str">
        <f t="shared" si="121"/>
        <v/>
      </c>
      <c r="J3898" s="63" t="str">
        <f t="shared" si="122"/>
        <v/>
      </c>
    </row>
    <row r="3899" spans="9:10">
      <c r="I3899" s="62" t="str">
        <f t="shared" si="121"/>
        <v/>
      </c>
      <c r="J3899" s="63" t="str">
        <f t="shared" si="122"/>
        <v/>
      </c>
    </row>
    <row r="3900" spans="9:10">
      <c r="I3900" s="62" t="str">
        <f t="shared" si="121"/>
        <v/>
      </c>
      <c r="J3900" s="63" t="str">
        <f t="shared" si="122"/>
        <v/>
      </c>
    </row>
    <row r="3901" spans="9:10">
      <c r="I3901" s="62" t="str">
        <f t="shared" si="121"/>
        <v/>
      </c>
      <c r="J3901" s="63" t="str">
        <f t="shared" si="122"/>
        <v/>
      </c>
    </row>
    <row r="3902" spans="9:10">
      <c r="I3902" s="62" t="str">
        <f t="shared" si="121"/>
        <v/>
      </c>
      <c r="J3902" s="63" t="str">
        <f t="shared" si="122"/>
        <v/>
      </c>
    </row>
    <row r="3903" spans="9:10">
      <c r="I3903" s="62" t="str">
        <f t="shared" si="121"/>
        <v/>
      </c>
      <c r="J3903" s="63" t="str">
        <f t="shared" si="122"/>
        <v/>
      </c>
    </row>
    <row r="3904" spans="9:10">
      <c r="I3904" s="62" t="str">
        <f t="shared" si="121"/>
        <v/>
      </c>
      <c r="J3904" s="63" t="str">
        <f t="shared" si="122"/>
        <v/>
      </c>
    </row>
    <row r="3905" spans="9:10">
      <c r="I3905" s="62" t="str">
        <f t="shared" si="121"/>
        <v/>
      </c>
      <c r="J3905" s="63" t="str">
        <f t="shared" si="122"/>
        <v/>
      </c>
    </row>
    <row r="3906" spans="9:10">
      <c r="I3906" s="62" t="str">
        <f t="shared" si="121"/>
        <v/>
      </c>
      <c r="J3906" s="63" t="str">
        <f t="shared" si="122"/>
        <v/>
      </c>
    </row>
    <row r="3907" spans="9:10">
      <c r="I3907" s="62" t="str">
        <f t="shared" si="121"/>
        <v/>
      </c>
      <c r="J3907" s="63" t="str">
        <f t="shared" si="122"/>
        <v/>
      </c>
    </row>
    <row r="3908" spans="9:10">
      <c r="I3908" s="62" t="str">
        <f t="shared" si="121"/>
        <v/>
      </c>
      <c r="J3908" s="63" t="str">
        <f t="shared" si="122"/>
        <v/>
      </c>
    </row>
    <row r="3909" spans="9:10">
      <c r="I3909" s="62" t="str">
        <f t="shared" si="121"/>
        <v/>
      </c>
      <c r="J3909" s="63" t="str">
        <f t="shared" si="122"/>
        <v/>
      </c>
    </row>
    <row r="3910" spans="9:10">
      <c r="I3910" s="62" t="str">
        <f t="shared" si="121"/>
        <v/>
      </c>
      <c r="J3910" s="63" t="str">
        <f t="shared" si="122"/>
        <v/>
      </c>
    </row>
    <row r="3911" spans="9:10">
      <c r="I3911" s="62" t="str">
        <f t="shared" si="121"/>
        <v/>
      </c>
      <c r="J3911" s="63" t="str">
        <f t="shared" si="122"/>
        <v/>
      </c>
    </row>
    <row r="3912" spans="9:10">
      <c r="I3912" s="62" t="str">
        <f t="shared" si="121"/>
        <v/>
      </c>
      <c r="J3912" s="63" t="str">
        <f t="shared" si="122"/>
        <v/>
      </c>
    </row>
    <row r="3913" spans="9:10">
      <c r="I3913" s="62" t="str">
        <f t="shared" si="121"/>
        <v/>
      </c>
      <c r="J3913" s="63" t="str">
        <f t="shared" si="122"/>
        <v/>
      </c>
    </row>
    <row r="3914" spans="9:10">
      <c r="I3914" s="62" t="str">
        <f t="shared" si="121"/>
        <v/>
      </c>
      <c r="J3914" s="63" t="str">
        <f t="shared" si="122"/>
        <v/>
      </c>
    </row>
    <row r="3915" spans="9:10">
      <c r="I3915" s="62" t="str">
        <f t="shared" si="121"/>
        <v/>
      </c>
      <c r="J3915" s="63" t="str">
        <f t="shared" si="122"/>
        <v/>
      </c>
    </row>
    <row r="3916" spans="9:10">
      <c r="I3916" s="62" t="str">
        <f t="shared" ref="I3916:I3979" si="123">IF(B3916="","",IF(B3916="Total",I3914,IF(B3914="Total",I3914, IF(ISNUMBER(A3916),A3916,I3915))))</f>
        <v/>
      </c>
      <c r="J3916" s="63" t="str">
        <f t="shared" si="122"/>
        <v/>
      </c>
    </row>
    <row r="3917" spans="9:10">
      <c r="I3917" s="62" t="str">
        <f t="shared" si="123"/>
        <v/>
      </c>
      <c r="J3917" s="63" t="str">
        <f t="shared" si="122"/>
        <v/>
      </c>
    </row>
    <row r="3918" spans="9:10">
      <c r="I3918" s="62" t="str">
        <f t="shared" si="123"/>
        <v/>
      </c>
      <c r="J3918" s="63" t="str">
        <f t="shared" si="122"/>
        <v/>
      </c>
    </row>
    <row r="3919" spans="9:10">
      <c r="I3919" s="62" t="str">
        <f t="shared" si="123"/>
        <v/>
      </c>
      <c r="J3919" s="63" t="str">
        <f t="shared" ref="J3919:J3982" si="124">IF(B3919="","",IF(B3919="Total",J3917,IF(B3917="Total",J3917,IF(A3919="",J3918,IF(ISNUMBER(A3918),B3918,IF(ISNUMBER(A3919),B3919,J3918))))))</f>
        <v/>
      </c>
    </row>
    <row r="3920" spans="9:10">
      <c r="I3920" s="62" t="str">
        <f t="shared" si="123"/>
        <v/>
      </c>
      <c r="J3920" s="63" t="str">
        <f t="shared" si="124"/>
        <v/>
      </c>
    </row>
    <row r="3921" spans="9:10">
      <c r="I3921" s="62" t="str">
        <f t="shared" si="123"/>
        <v/>
      </c>
      <c r="J3921" s="63" t="str">
        <f t="shared" si="124"/>
        <v/>
      </c>
    </row>
    <row r="3922" spans="9:10">
      <c r="I3922" s="62" t="str">
        <f t="shared" si="123"/>
        <v/>
      </c>
      <c r="J3922" s="63" t="str">
        <f t="shared" si="124"/>
        <v/>
      </c>
    </row>
    <row r="3923" spans="9:10">
      <c r="I3923" s="62" t="str">
        <f t="shared" si="123"/>
        <v/>
      </c>
      <c r="J3923" s="63" t="str">
        <f t="shared" si="124"/>
        <v/>
      </c>
    </row>
    <row r="3924" spans="9:10">
      <c r="I3924" s="62" t="str">
        <f t="shared" si="123"/>
        <v/>
      </c>
      <c r="J3924" s="63" t="str">
        <f t="shared" si="124"/>
        <v/>
      </c>
    </row>
    <row r="3925" spans="9:10">
      <c r="I3925" s="62" t="str">
        <f t="shared" si="123"/>
        <v/>
      </c>
      <c r="J3925" s="63" t="str">
        <f t="shared" si="124"/>
        <v/>
      </c>
    </row>
    <row r="3926" spans="9:10">
      <c r="I3926" s="62" t="str">
        <f t="shared" si="123"/>
        <v/>
      </c>
      <c r="J3926" s="63" t="str">
        <f t="shared" si="124"/>
        <v/>
      </c>
    </row>
    <row r="3927" spans="9:10">
      <c r="I3927" s="62" t="str">
        <f t="shared" si="123"/>
        <v/>
      </c>
      <c r="J3927" s="63" t="str">
        <f t="shared" si="124"/>
        <v/>
      </c>
    </row>
    <row r="3928" spans="9:10">
      <c r="I3928" s="62" t="str">
        <f t="shared" si="123"/>
        <v/>
      </c>
      <c r="J3928" s="63" t="str">
        <f t="shared" si="124"/>
        <v/>
      </c>
    </row>
    <row r="3929" spans="9:10">
      <c r="I3929" s="62" t="str">
        <f t="shared" si="123"/>
        <v/>
      </c>
      <c r="J3929" s="63" t="str">
        <f t="shared" si="124"/>
        <v/>
      </c>
    </row>
    <row r="3930" spans="9:10">
      <c r="I3930" s="62" t="str">
        <f t="shared" si="123"/>
        <v/>
      </c>
      <c r="J3930" s="63" t="str">
        <f t="shared" si="124"/>
        <v/>
      </c>
    </row>
    <row r="3931" spans="9:10">
      <c r="I3931" s="62" t="str">
        <f t="shared" si="123"/>
        <v/>
      </c>
      <c r="J3931" s="63" t="str">
        <f t="shared" si="124"/>
        <v/>
      </c>
    </row>
    <row r="3932" spans="9:10">
      <c r="I3932" s="62" t="str">
        <f t="shared" si="123"/>
        <v/>
      </c>
      <c r="J3932" s="63" t="str">
        <f t="shared" si="124"/>
        <v/>
      </c>
    </row>
    <row r="3933" spans="9:10">
      <c r="I3933" s="62" t="str">
        <f t="shared" si="123"/>
        <v/>
      </c>
      <c r="J3933" s="63" t="str">
        <f t="shared" si="124"/>
        <v/>
      </c>
    </row>
    <row r="3934" spans="9:10">
      <c r="I3934" s="62" t="str">
        <f t="shared" si="123"/>
        <v/>
      </c>
      <c r="J3934" s="63" t="str">
        <f t="shared" si="124"/>
        <v/>
      </c>
    </row>
    <row r="3935" spans="9:10">
      <c r="I3935" s="62" t="str">
        <f t="shared" si="123"/>
        <v/>
      </c>
      <c r="J3935" s="63" t="str">
        <f t="shared" si="124"/>
        <v/>
      </c>
    </row>
    <row r="3936" spans="9:10">
      <c r="I3936" s="62" t="str">
        <f t="shared" si="123"/>
        <v/>
      </c>
      <c r="J3936" s="63" t="str">
        <f t="shared" si="124"/>
        <v/>
      </c>
    </row>
    <row r="3937" spans="9:10">
      <c r="I3937" s="62" t="str">
        <f t="shared" si="123"/>
        <v/>
      </c>
      <c r="J3937" s="63" t="str">
        <f t="shared" si="124"/>
        <v/>
      </c>
    </row>
    <row r="3938" spans="9:10">
      <c r="I3938" s="62" t="str">
        <f t="shared" si="123"/>
        <v/>
      </c>
      <c r="J3938" s="63" t="str">
        <f t="shared" si="124"/>
        <v/>
      </c>
    </row>
    <row r="3939" spans="9:10">
      <c r="I3939" s="62" t="str">
        <f t="shared" si="123"/>
        <v/>
      </c>
      <c r="J3939" s="63" t="str">
        <f t="shared" si="124"/>
        <v/>
      </c>
    </row>
    <row r="3940" spans="9:10">
      <c r="I3940" s="62" t="str">
        <f t="shared" si="123"/>
        <v/>
      </c>
      <c r="J3940" s="63" t="str">
        <f t="shared" si="124"/>
        <v/>
      </c>
    </row>
    <row r="3941" spans="9:10">
      <c r="I3941" s="62" t="str">
        <f t="shared" si="123"/>
        <v/>
      </c>
      <c r="J3941" s="63" t="str">
        <f t="shared" si="124"/>
        <v/>
      </c>
    </row>
    <row r="3942" spans="9:10">
      <c r="I3942" s="62" t="str">
        <f t="shared" si="123"/>
        <v/>
      </c>
      <c r="J3942" s="63" t="str">
        <f t="shared" si="124"/>
        <v/>
      </c>
    </row>
    <row r="3943" spans="9:10">
      <c r="I3943" s="62" t="str">
        <f t="shared" si="123"/>
        <v/>
      </c>
      <c r="J3943" s="63" t="str">
        <f t="shared" si="124"/>
        <v/>
      </c>
    </row>
    <row r="3944" spans="9:10">
      <c r="I3944" s="62" t="str">
        <f t="shared" si="123"/>
        <v/>
      </c>
      <c r="J3944" s="63" t="str">
        <f t="shared" si="124"/>
        <v/>
      </c>
    </row>
    <row r="3945" spans="9:10">
      <c r="I3945" s="62" t="str">
        <f t="shared" si="123"/>
        <v/>
      </c>
      <c r="J3945" s="63" t="str">
        <f t="shared" si="124"/>
        <v/>
      </c>
    </row>
    <row r="3946" spans="9:10">
      <c r="I3946" s="62" t="str">
        <f t="shared" si="123"/>
        <v/>
      </c>
      <c r="J3946" s="63" t="str">
        <f t="shared" si="124"/>
        <v/>
      </c>
    </row>
    <row r="3947" spans="9:10">
      <c r="I3947" s="62" t="str">
        <f t="shared" si="123"/>
        <v/>
      </c>
      <c r="J3947" s="63" t="str">
        <f t="shared" si="124"/>
        <v/>
      </c>
    </row>
    <row r="3948" spans="9:10">
      <c r="I3948" s="62" t="str">
        <f t="shared" si="123"/>
        <v/>
      </c>
      <c r="J3948" s="63" t="str">
        <f t="shared" si="124"/>
        <v/>
      </c>
    </row>
    <row r="3949" spans="9:10">
      <c r="I3949" s="62" t="str">
        <f t="shared" si="123"/>
        <v/>
      </c>
      <c r="J3949" s="63" t="str">
        <f t="shared" si="124"/>
        <v/>
      </c>
    </row>
    <row r="3950" spans="9:10">
      <c r="I3950" s="62" t="str">
        <f t="shared" si="123"/>
        <v/>
      </c>
      <c r="J3950" s="63" t="str">
        <f t="shared" si="124"/>
        <v/>
      </c>
    </row>
    <row r="3951" spans="9:10">
      <c r="I3951" s="62" t="str">
        <f t="shared" si="123"/>
        <v/>
      </c>
      <c r="J3951" s="63" t="str">
        <f t="shared" si="124"/>
        <v/>
      </c>
    </row>
    <row r="3952" spans="9:10">
      <c r="I3952" s="62" t="str">
        <f t="shared" si="123"/>
        <v/>
      </c>
      <c r="J3952" s="63" t="str">
        <f t="shared" si="124"/>
        <v/>
      </c>
    </row>
    <row r="3953" spans="9:10">
      <c r="I3953" s="62" t="str">
        <f t="shared" si="123"/>
        <v/>
      </c>
      <c r="J3953" s="63" t="str">
        <f t="shared" si="124"/>
        <v/>
      </c>
    </row>
    <row r="3954" spans="9:10">
      <c r="I3954" s="62" t="str">
        <f t="shared" si="123"/>
        <v/>
      </c>
      <c r="J3954" s="63" t="str">
        <f t="shared" si="124"/>
        <v/>
      </c>
    </row>
    <row r="3955" spans="9:10">
      <c r="I3955" s="62" t="str">
        <f t="shared" si="123"/>
        <v/>
      </c>
      <c r="J3955" s="63" t="str">
        <f t="shared" si="124"/>
        <v/>
      </c>
    </row>
    <row r="3956" spans="9:10">
      <c r="I3956" s="62" t="str">
        <f t="shared" si="123"/>
        <v/>
      </c>
      <c r="J3956" s="63" t="str">
        <f t="shared" si="124"/>
        <v/>
      </c>
    </row>
    <row r="3957" spans="9:10">
      <c r="I3957" s="62" t="str">
        <f t="shared" si="123"/>
        <v/>
      </c>
      <c r="J3957" s="63" t="str">
        <f t="shared" si="124"/>
        <v/>
      </c>
    </row>
    <row r="3958" spans="9:10">
      <c r="I3958" s="62" t="str">
        <f t="shared" si="123"/>
        <v/>
      </c>
      <c r="J3958" s="63" t="str">
        <f t="shared" si="124"/>
        <v/>
      </c>
    </row>
    <row r="3959" spans="9:10">
      <c r="I3959" s="62" t="str">
        <f t="shared" si="123"/>
        <v/>
      </c>
      <c r="J3959" s="63" t="str">
        <f t="shared" si="124"/>
        <v/>
      </c>
    </row>
    <row r="3960" spans="9:10">
      <c r="I3960" s="62" t="str">
        <f t="shared" si="123"/>
        <v/>
      </c>
      <c r="J3960" s="63" t="str">
        <f t="shared" si="124"/>
        <v/>
      </c>
    </row>
    <row r="3961" spans="9:10">
      <c r="I3961" s="62" t="str">
        <f t="shared" si="123"/>
        <v/>
      </c>
      <c r="J3961" s="63" t="str">
        <f t="shared" si="124"/>
        <v/>
      </c>
    </row>
    <row r="3962" spans="9:10">
      <c r="I3962" s="62" t="str">
        <f t="shared" si="123"/>
        <v/>
      </c>
      <c r="J3962" s="63" t="str">
        <f t="shared" si="124"/>
        <v/>
      </c>
    </row>
    <row r="3963" spans="9:10">
      <c r="I3963" s="62" t="str">
        <f t="shared" si="123"/>
        <v/>
      </c>
      <c r="J3963" s="63" t="str">
        <f t="shared" si="124"/>
        <v/>
      </c>
    </row>
    <row r="3964" spans="9:10">
      <c r="I3964" s="62" t="str">
        <f t="shared" si="123"/>
        <v/>
      </c>
      <c r="J3964" s="63" t="str">
        <f t="shared" si="124"/>
        <v/>
      </c>
    </row>
    <row r="3965" spans="9:10">
      <c r="I3965" s="62" t="str">
        <f t="shared" si="123"/>
        <v/>
      </c>
      <c r="J3965" s="63" t="str">
        <f t="shared" si="124"/>
        <v/>
      </c>
    </row>
    <row r="3966" spans="9:10">
      <c r="I3966" s="62" t="str">
        <f t="shared" si="123"/>
        <v/>
      </c>
      <c r="J3966" s="63" t="str">
        <f t="shared" si="124"/>
        <v/>
      </c>
    </row>
    <row r="3967" spans="9:10">
      <c r="I3967" s="62" t="str">
        <f t="shared" si="123"/>
        <v/>
      </c>
      <c r="J3967" s="63" t="str">
        <f t="shared" si="124"/>
        <v/>
      </c>
    </row>
    <row r="3968" spans="9:10">
      <c r="I3968" s="62" t="str">
        <f t="shared" si="123"/>
        <v/>
      </c>
      <c r="J3968" s="63" t="str">
        <f t="shared" si="124"/>
        <v/>
      </c>
    </row>
    <row r="3969" spans="9:10">
      <c r="I3969" s="62" t="str">
        <f t="shared" si="123"/>
        <v/>
      </c>
      <c r="J3969" s="63" t="str">
        <f t="shared" si="124"/>
        <v/>
      </c>
    </row>
    <row r="3970" spans="9:10">
      <c r="I3970" s="62" t="str">
        <f t="shared" si="123"/>
        <v/>
      </c>
      <c r="J3970" s="63" t="str">
        <f t="shared" si="124"/>
        <v/>
      </c>
    </row>
    <row r="3971" spans="9:10">
      <c r="I3971" s="62" t="str">
        <f t="shared" si="123"/>
        <v/>
      </c>
      <c r="J3971" s="63" t="str">
        <f t="shared" si="124"/>
        <v/>
      </c>
    </row>
    <row r="3972" spans="9:10">
      <c r="I3972" s="62" t="str">
        <f t="shared" si="123"/>
        <v/>
      </c>
      <c r="J3972" s="63" t="str">
        <f t="shared" si="124"/>
        <v/>
      </c>
    </row>
    <row r="3973" spans="9:10">
      <c r="I3973" s="62" t="str">
        <f t="shared" si="123"/>
        <v/>
      </c>
      <c r="J3973" s="63" t="str">
        <f t="shared" si="124"/>
        <v/>
      </c>
    </row>
    <row r="3974" spans="9:10">
      <c r="I3974" s="62" t="str">
        <f t="shared" si="123"/>
        <v/>
      </c>
      <c r="J3974" s="63" t="str">
        <f t="shared" si="124"/>
        <v/>
      </c>
    </row>
    <row r="3975" spans="9:10">
      <c r="I3975" s="62" t="str">
        <f t="shared" si="123"/>
        <v/>
      </c>
      <c r="J3975" s="63" t="str">
        <f t="shared" si="124"/>
        <v/>
      </c>
    </row>
    <row r="3976" spans="9:10">
      <c r="I3976" s="62" t="str">
        <f t="shared" si="123"/>
        <v/>
      </c>
      <c r="J3976" s="63" t="str">
        <f t="shared" si="124"/>
        <v/>
      </c>
    </row>
    <row r="3977" spans="9:10">
      <c r="I3977" s="62" t="str">
        <f t="shared" si="123"/>
        <v/>
      </c>
      <c r="J3977" s="63" t="str">
        <f t="shared" si="124"/>
        <v/>
      </c>
    </row>
    <row r="3978" spans="9:10">
      <c r="I3978" s="62" t="str">
        <f t="shared" si="123"/>
        <v/>
      </c>
      <c r="J3978" s="63" t="str">
        <f t="shared" si="124"/>
        <v/>
      </c>
    </row>
    <row r="3979" spans="9:10">
      <c r="I3979" s="62" t="str">
        <f t="shared" si="123"/>
        <v/>
      </c>
      <c r="J3979" s="63" t="str">
        <f t="shared" si="124"/>
        <v/>
      </c>
    </row>
    <row r="3980" spans="9:10">
      <c r="I3980" s="62" t="str">
        <f t="shared" ref="I3980:I4026" si="125">IF(B3980="","",IF(B3980="Total",I3978,IF(B3978="Total",I3978, IF(ISNUMBER(A3980),A3980,I3979))))</f>
        <v/>
      </c>
      <c r="J3980" s="63" t="str">
        <f t="shared" si="124"/>
        <v/>
      </c>
    </row>
    <row r="3981" spans="9:10">
      <c r="I3981" s="62" t="str">
        <f t="shared" si="125"/>
        <v/>
      </c>
      <c r="J3981" s="63" t="str">
        <f t="shared" si="124"/>
        <v/>
      </c>
    </row>
    <row r="3982" spans="9:10">
      <c r="I3982" s="62" t="str">
        <f t="shared" si="125"/>
        <v/>
      </c>
      <c r="J3982" s="63" t="str">
        <f t="shared" si="124"/>
        <v/>
      </c>
    </row>
    <row r="3983" spans="9:10">
      <c r="I3983" s="62" t="str">
        <f t="shared" si="125"/>
        <v/>
      </c>
      <c r="J3983" s="63" t="str">
        <f t="shared" ref="J3983:J4026" si="126">IF(B3983="","",IF(B3983="Total",J3981,IF(B3981="Total",J3981,IF(A3983="",J3982,IF(ISNUMBER(A3982),B3982,IF(ISNUMBER(A3983),B3983,J3982))))))</f>
        <v/>
      </c>
    </row>
    <row r="3984" spans="9:10">
      <c r="I3984" s="62" t="str">
        <f t="shared" si="125"/>
        <v/>
      </c>
      <c r="J3984" s="63" t="str">
        <f t="shared" si="126"/>
        <v/>
      </c>
    </row>
    <row r="3985" spans="9:10">
      <c r="I3985" s="62" t="str">
        <f t="shared" si="125"/>
        <v/>
      </c>
      <c r="J3985" s="63" t="str">
        <f t="shared" si="126"/>
        <v/>
      </c>
    </row>
    <row r="3986" spans="9:10">
      <c r="I3986" s="62" t="str">
        <f t="shared" si="125"/>
        <v/>
      </c>
      <c r="J3986" s="63" t="str">
        <f t="shared" si="126"/>
        <v/>
      </c>
    </row>
    <row r="3987" spans="9:10">
      <c r="I3987" s="62" t="str">
        <f t="shared" si="125"/>
        <v/>
      </c>
      <c r="J3987" s="63" t="str">
        <f t="shared" si="126"/>
        <v/>
      </c>
    </row>
    <row r="3988" spans="9:10">
      <c r="I3988" s="62" t="str">
        <f t="shared" si="125"/>
        <v/>
      </c>
      <c r="J3988" s="63" t="str">
        <f t="shared" si="126"/>
        <v/>
      </c>
    </row>
    <row r="3989" spans="9:10">
      <c r="I3989" s="62" t="str">
        <f t="shared" si="125"/>
        <v/>
      </c>
      <c r="J3989" s="63" t="str">
        <f t="shared" si="126"/>
        <v/>
      </c>
    </row>
    <row r="3990" spans="9:10">
      <c r="I3990" s="62" t="str">
        <f t="shared" si="125"/>
        <v/>
      </c>
      <c r="J3990" s="63" t="str">
        <f t="shared" si="126"/>
        <v/>
      </c>
    </row>
    <row r="3991" spans="9:10">
      <c r="I3991" s="62" t="str">
        <f t="shared" si="125"/>
        <v/>
      </c>
      <c r="J3991" s="63" t="str">
        <f t="shared" si="126"/>
        <v/>
      </c>
    </row>
    <row r="3992" spans="9:10">
      <c r="I3992" s="62" t="str">
        <f t="shared" si="125"/>
        <v/>
      </c>
      <c r="J3992" s="63" t="str">
        <f t="shared" si="126"/>
        <v/>
      </c>
    </row>
    <row r="3993" spans="9:10">
      <c r="I3993" s="62" t="str">
        <f t="shared" si="125"/>
        <v/>
      </c>
      <c r="J3993" s="63" t="str">
        <f t="shared" si="126"/>
        <v/>
      </c>
    </row>
    <row r="3994" spans="9:10">
      <c r="I3994" s="62" t="str">
        <f t="shared" si="125"/>
        <v/>
      </c>
      <c r="J3994" s="63" t="str">
        <f t="shared" si="126"/>
        <v/>
      </c>
    </row>
    <row r="3995" spans="9:10">
      <c r="I3995" s="62" t="str">
        <f t="shared" si="125"/>
        <v/>
      </c>
      <c r="J3995" s="63" t="str">
        <f t="shared" si="126"/>
        <v/>
      </c>
    </row>
    <row r="3996" spans="9:10">
      <c r="I3996" s="62" t="str">
        <f t="shared" si="125"/>
        <v/>
      </c>
      <c r="J3996" s="63" t="str">
        <f t="shared" si="126"/>
        <v/>
      </c>
    </row>
    <row r="3997" spans="9:10">
      <c r="I3997" s="62" t="str">
        <f t="shared" si="125"/>
        <v/>
      </c>
      <c r="J3997" s="63" t="str">
        <f t="shared" si="126"/>
        <v/>
      </c>
    </row>
    <row r="3998" spans="9:10">
      <c r="I3998" s="62" t="str">
        <f t="shared" si="125"/>
        <v/>
      </c>
      <c r="J3998" s="63" t="str">
        <f t="shared" si="126"/>
        <v/>
      </c>
    </row>
    <row r="3999" spans="9:10">
      <c r="I3999" s="62" t="str">
        <f t="shared" si="125"/>
        <v/>
      </c>
      <c r="J3999" s="63" t="str">
        <f t="shared" si="126"/>
        <v/>
      </c>
    </row>
    <row r="4000" spans="9:10">
      <c r="I4000" s="62" t="str">
        <f t="shared" si="125"/>
        <v/>
      </c>
      <c r="J4000" s="63" t="str">
        <f t="shared" si="126"/>
        <v/>
      </c>
    </row>
    <row r="4001" spans="9:10">
      <c r="I4001" s="62" t="str">
        <f t="shared" si="125"/>
        <v/>
      </c>
      <c r="J4001" s="63" t="str">
        <f t="shared" si="126"/>
        <v/>
      </c>
    </row>
    <row r="4002" spans="9:10">
      <c r="I4002" s="62" t="str">
        <f t="shared" si="125"/>
        <v/>
      </c>
      <c r="J4002" s="63" t="str">
        <f t="shared" si="126"/>
        <v/>
      </c>
    </row>
    <row r="4003" spans="9:10">
      <c r="I4003" s="62" t="str">
        <f t="shared" si="125"/>
        <v/>
      </c>
      <c r="J4003" s="63" t="str">
        <f t="shared" si="126"/>
        <v/>
      </c>
    </row>
    <row r="4004" spans="9:10">
      <c r="I4004" s="62" t="str">
        <f t="shared" si="125"/>
        <v/>
      </c>
      <c r="J4004" s="63" t="str">
        <f t="shared" si="126"/>
        <v/>
      </c>
    </row>
    <row r="4005" spans="9:10">
      <c r="I4005" s="62" t="str">
        <f t="shared" si="125"/>
        <v/>
      </c>
      <c r="J4005" s="63" t="str">
        <f t="shared" si="126"/>
        <v/>
      </c>
    </row>
    <row r="4006" spans="9:10">
      <c r="I4006" s="62" t="str">
        <f t="shared" si="125"/>
        <v/>
      </c>
      <c r="J4006" s="63" t="str">
        <f t="shared" si="126"/>
        <v/>
      </c>
    </row>
    <row r="4007" spans="9:10">
      <c r="I4007" s="62" t="str">
        <f t="shared" si="125"/>
        <v/>
      </c>
      <c r="J4007" s="63" t="str">
        <f t="shared" si="126"/>
        <v/>
      </c>
    </row>
    <row r="4008" spans="9:10">
      <c r="I4008" s="62" t="str">
        <f t="shared" si="125"/>
        <v/>
      </c>
      <c r="J4008" s="63" t="str">
        <f t="shared" si="126"/>
        <v/>
      </c>
    </row>
    <row r="4009" spans="9:10">
      <c r="I4009" s="62" t="str">
        <f t="shared" si="125"/>
        <v/>
      </c>
      <c r="J4009" s="63" t="str">
        <f t="shared" si="126"/>
        <v/>
      </c>
    </row>
    <row r="4010" spans="9:10">
      <c r="I4010" s="62" t="str">
        <f t="shared" si="125"/>
        <v/>
      </c>
      <c r="J4010" s="63" t="str">
        <f t="shared" si="126"/>
        <v/>
      </c>
    </row>
    <row r="4011" spans="9:10">
      <c r="I4011" s="62" t="str">
        <f t="shared" si="125"/>
        <v/>
      </c>
      <c r="J4011" s="63" t="str">
        <f t="shared" si="126"/>
        <v/>
      </c>
    </row>
    <row r="4012" spans="9:10">
      <c r="I4012" s="62" t="str">
        <f t="shared" si="125"/>
        <v/>
      </c>
      <c r="J4012" s="63" t="str">
        <f t="shared" si="126"/>
        <v/>
      </c>
    </row>
    <row r="4013" spans="9:10">
      <c r="I4013" s="62" t="str">
        <f t="shared" si="125"/>
        <v/>
      </c>
      <c r="J4013" s="63" t="str">
        <f t="shared" si="126"/>
        <v/>
      </c>
    </row>
    <row r="4014" spans="9:10">
      <c r="I4014" s="62" t="str">
        <f t="shared" si="125"/>
        <v/>
      </c>
      <c r="J4014" s="63" t="str">
        <f t="shared" si="126"/>
        <v/>
      </c>
    </row>
    <row r="4015" spans="9:10">
      <c r="I4015" s="62" t="str">
        <f t="shared" si="125"/>
        <v/>
      </c>
      <c r="J4015" s="63" t="str">
        <f t="shared" si="126"/>
        <v/>
      </c>
    </row>
    <row r="4016" spans="9:10">
      <c r="I4016" s="62" t="str">
        <f t="shared" si="125"/>
        <v/>
      </c>
      <c r="J4016" s="63" t="str">
        <f t="shared" si="126"/>
        <v/>
      </c>
    </row>
    <row r="4017" spans="9:10">
      <c r="I4017" s="62" t="str">
        <f t="shared" si="125"/>
        <v/>
      </c>
      <c r="J4017" s="63" t="str">
        <f t="shared" si="126"/>
        <v/>
      </c>
    </row>
    <row r="4018" spans="9:10">
      <c r="I4018" s="62" t="str">
        <f t="shared" si="125"/>
        <v/>
      </c>
      <c r="J4018" s="63" t="str">
        <f t="shared" si="126"/>
        <v/>
      </c>
    </row>
    <row r="4019" spans="9:10">
      <c r="I4019" s="62" t="str">
        <f t="shared" si="125"/>
        <v/>
      </c>
      <c r="J4019" s="63" t="str">
        <f t="shared" si="126"/>
        <v/>
      </c>
    </row>
    <row r="4020" spans="9:10">
      <c r="I4020" s="62" t="str">
        <f t="shared" si="125"/>
        <v/>
      </c>
      <c r="J4020" s="63" t="str">
        <f t="shared" si="126"/>
        <v/>
      </c>
    </row>
    <row r="4021" spans="9:10">
      <c r="I4021" s="62" t="str">
        <f t="shared" si="125"/>
        <v/>
      </c>
      <c r="J4021" s="63" t="str">
        <f t="shared" si="126"/>
        <v/>
      </c>
    </row>
    <row r="4022" spans="9:10">
      <c r="I4022" s="62" t="str">
        <f t="shared" si="125"/>
        <v/>
      </c>
      <c r="J4022" s="63" t="str">
        <f t="shared" si="126"/>
        <v/>
      </c>
    </row>
    <row r="4023" spans="9:10">
      <c r="I4023" s="62" t="str">
        <f t="shared" si="125"/>
        <v/>
      </c>
      <c r="J4023" s="63" t="str">
        <f t="shared" si="126"/>
        <v/>
      </c>
    </row>
    <row r="4024" spans="9:10">
      <c r="I4024" s="62" t="str">
        <f t="shared" si="125"/>
        <v/>
      </c>
      <c r="J4024" s="63" t="str">
        <f t="shared" si="126"/>
        <v/>
      </c>
    </row>
    <row r="4025" spans="9:10">
      <c r="I4025" s="62" t="str">
        <f t="shared" si="125"/>
        <v/>
      </c>
      <c r="J4025" s="63" t="str">
        <f t="shared" si="126"/>
        <v/>
      </c>
    </row>
    <row r="4026" spans="9:10">
      <c r="I4026" s="62" t="str">
        <f t="shared" si="125"/>
        <v/>
      </c>
      <c r="J4026" s="63" t="str">
        <f t="shared" si="126"/>
        <v/>
      </c>
    </row>
  </sheetData>
  <sheetProtection algorithmName="SHA-512" hashValue="JVFw6VSa49z7et9SOMQvWVWkYAEaUftJzq1LgsGRWx+a2bnove14KNR8G92+npyx5Z6oIJTFITePPVqYlEUYDg==" saltValue="/IttGbKJDtOuvGt6r3ELDg==" spinCount="100000" sheet="1" objects="1" scenarios="1"/>
  <mergeCells count="3">
    <mergeCell ref="A6:H6"/>
    <mergeCell ref="A7:H7"/>
    <mergeCell ref="A8:H8"/>
  </mergeCells>
  <pageMargins left="0.7" right="0.7" top="0.75" bottom="0.75" header="0.3" footer="0.3"/>
  <pageSetup scale="80" fitToWidth="0" fitToHeight="0" orientation="portrait" r:id="rId1"/>
  <headerFooter>
    <oddHeader>&amp;C&amp;G</oddHeader>
    <oddFooter>Page &amp;P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Select" xr:uid="{095248B3-B9B3-422B-85A9-D163E081DD09}">
          <x14:formula1>
            <xm:f>Lists!$A$3:$A$11</xm:f>
          </x14:formula1>
          <xm:sqref>B124 B140 B156 B92 B108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AD469-2635-4D97-ACE9-D5BE86C57FFE}">
  <sheetPr codeName="Sheet3"/>
  <dimension ref="A1:AZ32"/>
  <sheetViews>
    <sheetView showGridLines="0" workbookViewId="0">
      <selection activeCell="C26" sqref="C26"/>
    </sheetView>
  </sheetViews>
  <sheetFormatPr defaultColWidth="9.125" defaultRowHeight="14.25"/>
  <cols>
    <col min="1" max="1" width="20.375" bestFit="1" customWidth="1"/>
    <col min="2" max="4" width="9.625" bestFit="1" customWidth="1"/>
    <col min="5" max="6" width="8.75" bestFit="1" customWidth="1"/>
    <col min="7" max="8" width="9.75" bestFit="1" customWidth="1"/>
    <col min="9" max="10" width="9" bestFit="1" customWidth="1"/>
    <col min="11" max="13" width="10" bestFit="1" customWidth="1"/>
    <col min="14" max="14" width="8.875" bestFit="1" customWidth="1"/>
    <col min="15" max="17" width="9.625" bestFit="1" customWidth="1"/>
    <col min="18" max="18" width="9.125" bestFit="1" customWidth="1"/>
    <col min="19" max="21" width="10.125" bestFit="1" customWidth="1"/>
    <col min="22" max="22" width="9" bestFit="1" customWidth="1"/>
    <col min="23" max="23" width="8.625" bestFit="1" customWidth="1"/>
    <col min="24" max="26" width="9.625" bestFit="1" customWidth="1"/>
    <col min="27" max="27" width="8.75" bestFit="1" customWidth="1"/>
    <col min="28" max="30" width="9" bestFit="1" customWidth="1"/>
    <col min="31" max="31" width="8.875" bestFit="1" customWidth="1"/>
    <col min="32" max="35" width="9.875" bestFit="1" customWidth="1"/>
    <col min="36" max="36" width="9" bestFit="1" customWidth="1"/>
    <col min="37" max="39" width="9.75" bestFit="1" customWidth="1"/>
    <col min="40" max="40" width="9" bestFit="1" customWidth="1"/>
    <col min="41" max="43" width="9.625" bestFit="1" customWidth="1"/>
    <col min="44" max="45" width="9" bestFit="1" customWidth="1"/>
    <col min="46" max="48" width="10" bestFit="1" customWidth="1"/>
    <col min="49" max="49" width="9" bestFit="1" customWidth="1"/>
    <col min="50" max="51" width="9.875" bestFit="1" customWidth="1"/>
    <col min="52" max="52" width="9.625" bestFit="1" customWidth="1"/>
    <col min="53" max="66" width="9.375" bestFit="1" customWidth="1"/>
    <col min="67" max="105" width="9.25" bestFit="1" customWidth="1"/>
    <col min="106" max="135" width="9.625" bestFit="1" customWidth="1"/>
    <col min="136" max="173" width="9.25" bestFit="1" customWidth="1"/>
    <col min="174" max="226" width="9.875" bestFit="1" customWidth="1"/>
    <col min="227" max="241" width="9.25" bestFit="1" customWidth="1"/>
    <col min="242" max="294" width="9.375" bestFit="1" customWidth="1"/>
    <col min="295" max="317" width="9.25" bestFit="1" customWidth="1"/>
    <col min="318" max="370" width="10" bestFit="1" customWidth="1"/>
    <col min="371" max="400" width="9.25" bestFit="1" customWidth="1"/>
    <col min="401" max="453" width="9.375" bestFit="1" customWidth="1"/>
    <col min="454" max="544" width="9.25" bestFit="1" customWidth="1"/>
    <col min="545" max="612" width="9.75" bestFit="1" customWidth="1"/>
    <col min="613" max="635" width="9.25" bestFit="1" customWidth="1"/>
    <col min="636" max="688" width="9.625" bestFit="1" customWidth="1"/>
    <col min="689" max="703" width="9.25" bestFit="1" customWidth="1"/>
    <col min="704" max="756" width="9.375" bestFit="1" customWidth="1"/>
    <col min="757" max="794" width="9.25" bestFit="1" customWidth="1"/>
    <col min="795" max="847" width="9.875" bestFit="1" customWidth="1"/>
    <col min="848" max="862" width="9.25" bestFit="1" customWidth="1"/>
    <col min="863" max="891" width="9.75" bestFit="1" customWidth="1"/>
  </cols>
  <sheetData>
    <row r="1" spans="1:19">
      <c r="S1">
        <v>1</v>
      </c>
    </row>
    <row r="6" spans="1:19" ht="15">
      <c r="A6" s="65" t="s">
        <v>0</v>
      </c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</row>
    <row r="7" spans="1:19" ht="15">
      <c r="A7" s="65" t="s">
        <v>1</v>
      </c>
      <c r="B7" s="65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</row>
    <row r="8" spans="1:19" ht="15">
      <c r="A8" s="65" t="s">
        <v>2</v>
      </c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</row>
    <row r="9" spans="1:19" ht="15" thickBot="1"/>
    <row r="10" spans="1:19" s="2" customFormat="1" ht="15">
      <c r="A10" s="8"/>
      <c r="B10" s="9" t="s">
        <v>20</v>
      </c>
      <c r="C10" s="10">
        <v>45658</v>
      </c>
      <c r="D10" s="10">
        <v>45689</v>
      </c>
      <c r="E10" s="10">
        <v>45717</v>
      </c>
      <c r="F10" s="10">
        <v>45748</v>
      </c>
      <c r="G10" s="10">
        <v>45778</v>
      </c>
      <c r="H10" s="10">
        <v>45809</v>
      </c>
      <c r="I10" s="10">
        <v>45839</v>
      </c>
      <c r="J10" s="10">
        <v>45870</v>
      </c>
      <c r="K10" s="10">
        <v>45901</v>
      </c>
      <c r="L10" s="10">
        <v>45931</v>
      </c>
      <c r="M10" s="10">
        <v>45962</v>
      </c>
      <c r="N10" s="11">
        <v>45992</v>
      </c>
      <c r="O10" s="25">
        <v>46023</v>
      </c>
    </row>
    <row r="11" spans="1:19" s="2" customFormat="1" ht="15.75" hidden="1" thickBot="1">
      <c r="A11" s="12" t="s">
        <v>18</v>
      </c>
      <c r="B11" s="26" t="str">
        <f>IF(SUM(B12:B14)&gt;0, SUM(B12:B14), "")</f>
        <v/>
      </c>
      <c r="C11" s="27" t="str">
        <f t="shared" ref="C11:O11" si="0">IF(SUM(C12:C14)&gt;0, SUM(C12:C14), "")</f>
        <v/>
      </c>
      <c r="D11" s="6" t="str">
        <f t="shared" si="0"/>
        <v/>
      </c>
      <c r="E11" s="6" t="str">
        <f t="shared" si="0"/>
        <v/>
      </c>
      <c r="F11" s="6" t="str">
        <f t="shared" si="0"/>
        <v/>
      </c>
      <c r="G11" s="6" t="str">
        <f t="shared" si="0"/>
        <v/>
      </c>
      <c r="H11" s="6" t="str">
        <f t="shared" si="0"/>
        <v/>
      </c>
      <c r="I11" s="6" t="str">
        <f t="shared" si="0"/>
        <v/>
      </c>
      <c r="J11" s="6" t="str">
        <f t="shared" si="0"/>
        <v/>
      </c>
      <c r="K11" s="6" t="str">
        <f t="shared" si="0"/>
        <v/>
      </c>
      <c r="L11" s="6" t="str">
        <f t="shared" si="0"/>
        <v/>
      </c>
      <c r="M11" s="6" t="str">
        <f t="shared" si="0"/>
        <v/>
      </c>
      <c r="N11" s="13" t="str">
        <f t="shared" si="0"/>
        <v/>
      </c>
      <c r="O11" s="2" t="str">
        <f t="shared" si="0"/>
        <v/>
      </c>
    </row>
    <row r="12" spans="1:19" ht="15.75" hidden="1" thickTop="1">
      <c r="A12" s="14" t="s">
        <v>8</v>
      </c>
      <c r="B12" s="28">
        <f>SUMIFS(Archive!C:C,Archive!B:B,A12)</f>
        <v>0</v>
      </c>
      <c r="C12" s="29" t="str">
        <f>IF(SUMIFS(Archive!$C:$C,Archive!$B:$B,$A12,Archive!$I:$I,"&gt;="&amp;C$10,Archive!$I:$I,"&lt;"&amp;D$10)&gt;0, SUMIFS(Archive!$C:$C,Archive!$B:$B,$A12,Archive!$I:$I,"&gt;="&amp;C$10,Archive!$I:$I,"&lt;"&amp;D$10), "")</f>
        <v/>
      </c>
      <c r="D12" s="3" t="str">
        <f>IF(SUMIFS(Archive!$C:$C,Archive!$B:$B,$A12,Archive!$I:$I,"&gt;="&amp;D$10,Archive!$I:$I,"&lt;"&amp;E$10)&gt;0, SUMIFS(Archive!$C:$C,Archive!$B:$B,$A12,Archive!$I:$I,"&gt;="&amp;D$10,Archive!$I:$I,"&lt;"&amp;E$10), "")</f>
        <v/>
      </c>
      <c r="E12" s="3" t="str">
        <f>IF(SUMIFS(Archive!$C:$C,Archive!$B:$B,$A12,Archive!$I:$I,"&gt;="&amp;E$10,Archive!$I:$I,"&lt;"&amp;F$10)&gt;0, SUMIFS(Archive!$C:$C,Archive!$B:$B,$A12,Archive!$I:$I,"&gt;="&amp;E$10,Archive!$I:$I,"&lt;"&amp;F$10), "")</f>
        <v/>
      </c>
      <c r="F12" s="3" t="str">
        <f>IF(SUMIFS(Archive!$C:$C,Archive!$B:$B,$A12,Archive!$I:$I,"&gt;="&amp;F$10,Archive!$I:$I,"&lt;"&amp;G$10)&gt;0, SUMIFS(Archive!$C:$C,Archive!$B:$B,$A12,Archive!$I:$I,"&gt;="&amp;F$10,Archive!$I:$I,"&lt;"&amp;G$10), "")</f>
        <v/>
      </c>
      <c r="G12" s="3" t="str">
        <f>IF(SUMIFS(Archive!$C:$C,Archive!$B:$B,$A12,Archive!$I:$I,"&gt;="&amp;G$10,Archive!$I:$I,"&lt;"&amp;H$10)&gt;0, SUMIFS(Archive!$C:$C,Archive!$B:$B,$A12,Archive!$I:$I,"&gt;="&amp;G$10,Archive!$I:$I,"&lt;"&amp;H$10), "")</f>
        <v/>
      </c>
      <c r="H12" s="3" t="str">
        <f>IF(SUMIFS(Archive!$C:$C,Archive!$B:$B,$A12,Archive!$I:$I,"&gt;="&amp;H$10,Archive!$I:$I,"&lt;"&amp;I$10)&gt;0, SUMIFS(Archive!$C:$C,Archive!$B:$B,$A12,Archive!$I:$I,"&gt;="&amp;H$10,Archive!$I:$I,"&lt;"&amp;I$10), "")</f>
        <v/>
      </c>
      <c r="I12" s="3" t="str">
        <f>IF(SUMIFS(Archive!$C:$C,Archive!$B:$B,$A12,Archive!$I:$I,"&gt;="&amp;I$10,Archive!$I:$I,"&lt;"&amp;J$10)&gt;0, SUMIFS(Archive!$C:$C,Archive!$B:$B,$A12,Archive!$I:$I,"&gt;="&amp;I$10,Archive!$I:$I,"&lt;"&amp;J$10), "")</f>
        <v/>
      </c>
      <c r="J12" s="3" t="str">
        <f>IF(SUMIFS(Archive!$C:$C,Archive!$B:$B,$A12,Archive!$I:$I,"&gt;="&amp;J$10,Archive!$I:$I,"&lt;"&amp;K$10)&gt;0, SUMIFS(Archive!$C:$C,Archive!$B:$B,$A12,Archive!$I:$I,"&gt;="&amp;J$10,Archive!$I:$I,"&lt;"&amp;K$10), "")</f>
        <v/>
      </c>
      <c r="K12" s="3" t="str">
        <f>IF(SUMIFS(Archive!$C:$C,Archive!$B:$B,$A12,Archive!$I:$I,"&gt;="&amp;K$10,Archive!$I:$I,"&lt;"&amp;L$10)&gt;0, SUMIFS(Archive!$C:$C,Archive!$B:$B,$A12,Archive!$I:$I,"&gt;="&amp;K$10,Archive!$I:$I,"&lt;"&amp;L$10), "")</f>
        <v/>
      </c>
      <c r="L12" s="3" t="str">
        <f>IF(SUMIFS(Archive!$C:$C,Archive!$B:$B,$A12,Archive!$I:$I,"&gt;="&amp;L$10,Archive!$I:$I,"&lt;"&amp;M$10)&gt;0, SUMIFS(Archive!$C:$C,Archive!$B:$B,$A12,Archive!$I:$I,"&gt;="&amp;L$10,Archive!$I:$I,"&lt;"&amp;M$10), "")</f>
        <v/>
      </c>
      <c r="M12" s="3" t="str">
        <f>IF(SUMIFS(Archive!$C:$C,Archive!$B:$B,$A12,Archive!$I:$I,"&gt;="&amp;M$10,Archive!$I:$I,"&lt;"&amp;N$10)&gt;0, SUMIFS(Archive!$C:$C,Archive!$B:$B,$A12,Archive!$I:$I,"&gt;="&amp;M$10,Archive!$I:$I,"&lt;"&amp;N$10), "")</f>
        <v/>
      </c>
      <c r="N12" s="15" t="str">
        <f>IF(SUMIFS(Archive!$C:$C,Archive!$B:$B,$A12,Archive!$I:$I,"&gt;="&amp;N$10,Archive!$I:$I,"&lt;"&amp;O$10)&gt;0, SUMIFS(Archive!$C:$C,Archive!$B:$B,$A12,Archive!$I:$I,"&gt;="&amp;N$10,Archive!$I:$I,"&lt;"&amp;O$10), "")</f>
        <v/>
      </c>
    </row>
    <row r="13" spans="1:19" ht="15" hidden="1">
      <c r="A13" s="16" t="s">
        <v>9</v>
      </c>
      <c r="B13" s="30">
        <f>SUMIFS(Archive!C:C,Archive!B:B,A13)</f>
        <v>0</v>
      </c>
      <c r="C13" s="31" t="str">
        <f>IF(SUMIFS(Archive!$C:$C,Archive!$B:$B,$A13,Archive!$I:$I,"&gt;="&amp;C$10,Archive!$I:$I,"&lt;"&amp;D$10)&gt;0, SUMIFS(Archive!$C:$C,Archive!$B:$B,$A13,Archive!$I:$I,"&gt;="&amp;C$10,Archive!$I:$I,"&lt;"&amp;D$10), "")</f>
        <v/>
      </c>
      <c r="D13" s="7" t="str">
        <f>IF(SUMIFS(Archive!$C:$C,Archive!$B:$B,$A13,Archive!$I:$I,"&gt;="&amp;D$10,Archive!$I:$I,"&lt;"&amp;E$10)&gt;0, SUMIFS(Archive!$C:$C,Archive!$B:$B,$A13,Archive!$I:$I,"&gt;="&amp;D$10,Archive!$I:$I,"&lt;"&amp;E$10), "")</f>
        <v/>
      </c>
      <c r="E13" s="7" t="str">
        <f>IF(SUMIFS(Archive!$C:$C,Archive!$B:$B,$A13,Archive!$I:$I,"&gt;="&amp;E$10,Archive!$I:$I,"&lt;"&amp;F$10)&gt;0, SUMIFS(Archive!$C:$C,Archive!$B:$B,$A13,Archive!$I:$I,"&gt;="&amp;E$10,Archive!$I:$I,"&lt;"&amp;F$10), "")</f>
        <v/>
      </c>
      <c r="F13" s="7" t="str">
        <f>IF(SUMIFS(Archive!$C:$C,Archive!$B:$B,$A13,Archive!$I:$I,"&gt;="&amp;F$10,Archive!$I:$I,"&lt;"&amp;G$10)&gt;0, SUMIFS(Archive!$C:$C,Archive!$B:$B,$A13,Archive!$I:$I,"&gt;="&amp;F$10,Archive!$I:$I,"&lt;"&amp;G$10), "")</f>
        <v/>
      </c>
      <c r="G13" s="7" t="str">
        <f>IF(SUMIFS(Archive!$C:$C,Archive!$B:$B,$A13,Archive!$I:$I,"&gt;="&amp;G$10,Archive!$I:$I,"&lt;"&amp;H$10)&gt;0, SUMIFS(Archive!$C:$C,Archive!$B:$B,$A13,Archive!$I:$I,"&gt;="&amp;G$10,Archive!$I:$I,"&lt;"&amp;H$10), "")</f>
        <v/>
      </c>
      <c r="H13" s="7" t="str">
        <f>IF(SUMIFS(Archive!$C:$C,Archive!$B:$B,$A13,Archive!$I:$I,"&gt;="&amp;H$10,Archive!$I:$I,"&lt;"&amp;I$10)&gt;0, SUMIFS(Archive!$C:$C,Archive!$B:$B,$A13,Archive!$I:$I,"&gt;="&amp;H$10,Archive!$I:$I,"&lt;"&amp;I$10), "")</f>
        <v/>
      </c>
      <c r="I13" s="7" t="str">
        <f>IF(SUMIFS(Archive!$C:$C,Archive!$B:$B,$A13,Archive!$I:$I,"&gt;="&amp;I$10,Archive!$I:$I,"&lt;"&amp;J$10)&gt;0, SUMIFS(Archive!$C:$C,Archive!$B:$B,$A13,Archive!$I:$I,"&gt;="&amp;I$10,Archive!$I:$I,"&lt;"&amp;J$10), "")</f>
        <v/>
      </c>
      <c r="J13" s="7" t="str">
        <f>IF(SUMIFS(Archive!$C:$C,Archive!$B:$B,$A13,Archive!$I:$I,"&gt;="&amp;J$10,Archive!$I:$I,"&lt;"&amp;K$10)&gt;0, SUMIFS(Archive!$C:$C,Archive!$B:$B,$A13,Archive!$I:$I,"&gt;="&amp;J$10,Archive!$I:$I,"&lt;"&amp;K$10), "")</f>
        <v/>
      </c>
      <c r="K13" s="7" t="str">
        <f>IF(SUMIFS(Archive!$C:$C,Archive!$B:$B,$A13,Archive!$I:$I,"&gt;="&amp;K$10,Archive!$I:$I,"&lt;"&amp;L$10)&gt;0, SUMIFS(Archive!$C:$C,Archive!$B:$B,$A13,Archive!$I:$I,"&gt;="&amp;K$10,Archive!$I:$I,"&lt;"&amp;L$10), "")</f>
        <v/>
      </c>
      <c r="L13" s="7" t="str">
        <f>IF(SUMIFS(Archive!$C:$C,Archive!$B:$B,$A13,Archive!$I:$I,"&gt;="&amp;L$10,Archive!$I:$I,"&lt;"&amp;M$10)&gt;0, SUMIFS(Archive!$C:$C,Archive!$B:$B,$A13,Archive!$I:$I,"&gt;="&amp;L$10,Archive!$I:$I,"&lt;"&amp;M$10), "")</f>
        <v/>
      </c>
      <c r="M13" s="7" t="str">
        <f>IF(SUMIFS(Archive!$C:$C,Archive!$B:$B,$A13,Archive!$I:$I,"&gt;="&amp;M$10,Archive!$I:$I,"&lt;"&amp;N$10)&gt;0, SUMIFS(Archive!$C:$C,Archive!$B:$B,$A13,Archive!$I:$I,"&gt;="&amp;M$10,Archive!$I:$I,"&lt;"&amp;N$10), "")</f>
        <v/>
      </c>
      <c r="N13" s="17" t="str">
        <f>IF(SUMIFS(Archive!$C:$C,Archive!$B:$B,$A13,Archive!$I:$I,"&gt;="&amp;N$10,Archive!$I:$I,"&lt;"&amp;O$10)&gt;0, SUMIFS(Archive!$C:$C,Archive!$B:$B,$A13,Archive!$I:$I,"&gt;="&amp;N$10,Archive!$I:$I,"&lt;"&amp;O$10), "")</f>
        <v/>
      </c>
    </row>
    <row r="14" spans="1:19" ht="15" hidden="1">
      <c r="A14" s="18" t="s">
        <v>10</v>
      </c>
      <c r="B14" s="32">
        <f>SUMIFS(Archive!C:C,Archive!B:B,A14)</f>
        <v>0</v>
      </c>
      <c r="C14" s="33" t="str">
        <f>IF(SUMIFS(Archive!$C:$C,Archive!$B:$B,$A14,Archive!$I:$I,"&gt;="&amp;C$10,Archive!$I:$I,"&lt;"&amp;D$10)&gt;0, SUMIFS(Archive!$C:$C,Archive!$B:$B,$A14,Archive!$I:$I,"&gt;="&amp;C$10,Archive!$I:$I,"&lt;"&amp;D$10), "")</f>
        <v/>
      </c>
      <c r="D14" s="5" t="str">
        <f>IF(SUMIFS(Archive!$C:$C,Archive!$B:$B,$A14,Archive!$I:$I,"&gt;="&amp;D$10,Archive!$I:$I,"&lt;"&amp;E$10)&gt;0, SUMIFS(Archive!$C:$C,Archive!$B:$B,$A14,Archive!$I:$I,"&gt;="&amp;D$10,Archive!$I:$I,"&lt;"&amp;E$10), "")</f>
        <v/>
      </c>
      <c r="E14" s="5" t="str">
        <f>IF(SUMIFS(Archive!$C:$C,Archive!$B:$B,$A14,Archive!$I:$I,"&gt;="&amp;E$10,Archive!$I:$I,"&lt;"&amp;F$10)&gt;0, SUMIFS(Archive!$C:$C,Archive!$B:$B,$A14,Archive!$I:$I,"&gt;="&amp;E$10,Archive!$I:$I,"&lt;"&amp;F$10), "")</f>
        <v/>
      </c>
      <c r="F14" s="5" t="str">
        <f>IF(SUMIFS(Archive!$C:$C,Archive!$B:$B,$A14,Archive!$I:$I,"&gt;="&amp;F$10,Archive!$I:$I,"&lt;"&amp;G$10)&gt;0, SUMIFS(Archive!$C:$C,Archive!$B:$B,$A14,Archive!$I:$I,"&gt;="&amp;F$10,Archive!$I:$I,"&lt;"&amp;G$10), "")</f>
        <v/>
      </c>
      <c r="G14" s="5" t="str">
        <f>IF(SUMIFS(Archive!$C:$C,Archive!$B:$B,$A14,Archive!$I:$I,"&gt;="&amp;G$10,Archive!$I:$I,"&lt;"&amp;H$10)&gt;0, SUMIFS(Archive!$C:$C,Archive!$B:$B,$A14,Archive!$I:$I,"&gt;="&amp;G$10,Archive!$I:$I,"&lt;"&amp;H$10), "")</f>
        <v/>
      </c>
      <c r="H14" s="5" t="str">
        <f>IF(SUMIFS(Archive!$C:$C,Archive!$B:$B,$A14,Archive!$I:$I,"&gt;="&amp;H$10,Archive!$I:$I,"&lt;"&amp;I$10)&gt;0, SUMIFS(Archive!$C:$C,Archive!$B:$B,$A14,Archive!$I:$I,"&gt;="&amp;H$10,Archive!$I:$I,"&lt;"&amp;I$10), "")</f>
        <v/>
      </c>
      <c r="I14" s="5" t="str">
        <f>IF(SUMIFS(Archive!$C:$C,Archive!$B:$B,$A14,Archive!$I:$I,"&gt;="&amp;I$10,Archive!$I:$I,"&lt;"&amp;J$10)&gt;0, SUMIFS(Archive!$C:$C,Archive!$B:$B,$A14,Archive!$I:$I,"&gt;="&amp;I$10,Archive!$I:$I,"&lt;"&amp;J$10), "")</f>
        <v/>
      </c>
      <c r="J14" s="5" t="str">
        <f>IF(SUMIFS(Archive!$C:$C,Archive!$B:$B,$A14,Archive!$I:$I,"&gt;="&amp;J$10,Archive!$I:$I,"&lt;"&amp;K$10)&gt;0, SUMIFS(Archive!$C:$C,Archive!$B:$B,$A14,Archive!$I:$I,"&gt;="&amp;J$10,Archive!$I:$I,"&lt;"&amp;K$10), "")</f>
        <v/>
      </c>
      <c r="K14" s="5" t="str">
        <f>IF(SUMIFS(Archive!$C:$C,Archive!$B:$B,$A14,Archive!$I:$I,"&gt;="&amp;K$10,Archive!$I:$I,"&lt;"&amp;L$10)&gt;0, SUMIFS(Archive!$C:$C,Archive!$B:$B,$A14,Archive!$I:$I,"&gt;="&amp;K$10,Archive!$I:$I,"&lt;"&amp;L$10), "")</f>
        <v/>
      </c>
      <c r="L14" s="5" t="str">
        <f>IF(SUMIFS(Archive!$C:$C,Archive!$B:$B,$A14,Archive!$I:$I,"&gt;="&amp;L$10,Archive!$I:$I,"&lt;"&amp;M$10)&gt;0, SUMIFS(Archive!$C:$C,Archive!$B:$B,$A14,Archive!$I:$I,"&gt;="&amp;L$10,Archive!$I:$I,"&lt;"&amp;M$10), "")</f>
        <v/>
      </c>
      <c r="M14" s="5" t="str">
        <f>IF(SUMIFS(Archive!$C:$C,Archive!$B:$B,$A14,Archive!$I:$I,"&gt;="&amp;M$10,Archive!$I:$I,"&lt;"&amp;N$10)&gt;0, SUMIFS(Archive!$C:$C,Archive!$B:$B,$A14,Archive!$I:$I,"&gt;="&amp;M$10,Archive!$I:$I,"&lt;"&amp;N$10), "")</f>
        <v/>
      </c>
      <c r="N14" s="19" t="str">
        <f>IF(SUMIFS(Archive!$C:$C,Archive!$B:$B,$A14,Archive!$I:$I,"&gt;="&amp;N$10,Archive!$I:$I,"&lt;"&amp;O$10)&gt;0, SUMIFS(Archive!$C:$C,Archive!$B:$B,$A14,Archive!$I:$I,"&gt;="&amp;N$10,Archive!$I:$I,"&lt;"&amp;O$10), "")</f>
        <v/>
      </c>
    </row>
    <row r="15" spans="1:19" ht="15" hidden="1">
      <c r="A15" s="2"/>
    </row>
    <row r="16" spans="1:19" ht="15" hidden="1">
      <c r="A16" s="2"/>
    </row>
    <row r="17" spans="1:52" s="2" customFormat="1" ht="15.75" thickBot="1">
      <c r="A17" s="12" t="s">
        <v>19</v>
      </c>
      <c r="B17" s="26" t="e">
        <f t="shared" ref="B17:N17" si="1">IF(SUM(B18:B22)&gt;0, SUM(B18:B22), NA())</f>
        <v>#N/A</v>
      </c>
      <c r="C17" s="27" t="e">
        <f t="shared" si="1"/>
        <v>#N/A</v>
      </c>
      <c r="D17" s="6" t="e">
        <f t="shared" si="1"/>
        <v>#N/A</v>
      </c>
      <c r="E17" s="6" t="e">
        <f t="shared" si="1"/>
        <v>#N/A</v>
      </c>
      <c r="F17" s="6" t="e">
        <f t="shared" si="1"/>
        <v>#N/A</v>
      </c>
      <c r="G17" s="6" t="e">
        <f t="shared" si="1"/>
        <v>#N/A</v>
      </c>
      <c r="H17" s="6" t="e">
        <f t="shared" si="1"/>
        <v>#N/A</v>
      </c>
      <c r="I17" s="6" t="e">
        <f t="shared" si="1"/>
        <v>#N/A</v>
      </c>
      <c r="J17" s="6" t="e">
        <f t="shared" si="1"/>
        <v>#N/A</v>
      </c>
      <c r="K17" s="6" t="e">
        <f t="shared" si="1"/>
        <v>#N/A</v>
      </c>
      <c r="L17" s="6" t="e">
        <f t="shared" si="1"/>
        <v>#N/A</v>
      </c>
      <c r="M17" s="6" t="e">
        <f t="shared" si="1"/>
        <v>#N/A</v>
      </c>
      <c r="N17" s="13" t="e">
        <f t="shared" si="1"/>
        <v>#N/A</v>
      </c>
      <c r="O17" s="2" t="str">
        <f t="shared" ref="O17" si="2">IF(SUM(O18:O22)&gt;0, SUM(O18:O22), "")</f>
        <v/>
      </c>
    </row>
    <row r="18" spans="1:52" ht="15.75" thickTop="1">
      <c r="A18" s="14" t="s">
        <v>11</v>
      </c>
      <c r="B18" s="28">
        <f>IF($S$1=10,SUMIFS(Archive!C:C,Archive!B:B,A18),
SUMIFS(Archive!C:C,Archive!B:B,A18,Archive!J:J,_xlfn.XLOOKUP($S$1,Lists!$B:$B,Lists!$A:$A)))</f>
        <v>0</v>
      </c>
      <c r="C18" s="29" t="e">
        <f>IF($S$1=10,IF(
SUMIFS(Archive!$C:$C,Archive!$B:$B,$A18,Archive!$I:$I,"&gt;="&amp;C$10,Archive!$I:$I,"&lt;"&amp;D$10)&gt;0,
SUMIFS(Archive!$C:$C,Archive!$B:$B,$A18,Archive!$I:$I,"&gt;="&amp;C$10,Archive!$I:$I,"&lt;"&amp;D$10),NA()),
IF(
SUMIFS(Archive!$C:$C,Archive!$B:$B,$A18,Archive!$I:$I,"&gt;="&amp;C$10,Archive!$I:$I,"&lt;"&amp;D$10,Archive!$J:$J,_xlfn.XLOOKUP($S$1,Lists!$B:$B,Lists!$A:$A))&gt;0,
SUMIFS(Archive!$C:$C,Archive!$B:$B,$A18,Archive!$I:$I,"&gt;="&amp;C$10,Archive!$I:$I,"&lt;"&amp;D$10,Archive!$J:$J,_xlfn.XLOOKUP($S$1,Lists!$B:$B,Lists!$A:$A)),NA()))</f>
        <v>#N/A</v>
      </c>
      <c r="D18" s="3" t="e">
        <f>IF($S$1=10,IF(
SUMIFS(Archive!$C:$C,Archive!$B:$B,$A18,Archive!$I:$I,"&gt;="&amp;D$10,Archive!$I:$I,"&lt;"&amp;E$10)&gt;0,
SUMIFS(Archive!$C:$C,Archive!$B:$B,$A18,Archive!$I:$I,"&gt;="&amp;D$10,Archive!$I:$I,"&lt;"&amp;E$10),NA()),
IF(
SUMIFS(Archive!$C:$C,Archive!$B:$B,$A18,Archive!$I:$I,"&gt;="&amp;D$10,Archive!$I:$I,"&lt;"&amp;E$10,Archive!$J:$J,_xlfn.XLOOKUP($S$1,Lists!$B:$B,Lists!$A:$A))&gt;0,
SUMIFS(Archive!$C:$C,Archive!$B:$B,$A18,Archive!$I:$I,"&gt;="&amp;D$10,Archive!$I:$I,"&lt;"&amp;E$10,Archive!$J:$J,_xlfn.XLOOKUP($S$1,Lists!$B:$B,Lists!$A:$A)),NA()))</f>
        <v>#N/A</v>
      </c>
      <c r="E18" s="3" t="e">
        <f>IF($S$1=10,IF(
SUMIFS(Archive!$C:$C,Archive!$B:$B,$A18,Archive!$I:$I,"&gt;="&amp;E$10,Archive!$I:$I,"&lt;"&amp;F$10)&gt;0,
SUMIFS(Archive!$C:$C,Archive!$B:$B,$A18,Archive!$I:$I,"&gt;="&amp;E$10,Archive!$I:$I,"&lt;"&amp;F$10),NA()),
IF(
SUMIFS(Archive!$C:$C,Archive!$B:$B,$A18,Archive!$I:$I,"&gt;="&amp;E$10,Archive!$I:$I,"&lt;"&amp;F$10,Archive!$J:$J,_xlfn.XLOOKUP($S$1,Lists!$B:$B,Lists!$A:$A))&gt;0,
SUMIFS(Archive!$C:$C,Archive!$B:$B,$A18,Archive!$I:$I,"&gt;="&amp;E$10,Archive!$I:$I,"&lt;"&amp;F$10,Archive!$J:$J,_xlfn.XLOOKUP($S$1,Lists!$B:$B,Lists!$A:$A)),NA()))</f>
        <v>#N/A</v>
      </c>
      <c r="F18" s="3" t="e">
        <f>IF($S$1=10,IF(
SUMIFS(Archive!$C:$C,Archive!$B:$B,$A18,Archive!$I:$I,"&gt;="&amp;F$10,Archive!$I:$I,"&lt;"&amp;G$10)&gt;0,
SUMIFS(Archive!$C:$C,Archive!$B:$B,$A18,Archive!$I:$I,"&gt;="&amp;F$10,Archive!$I:$I,"&lt;"&amp;G$10),NA()),
IF(
SUMIFS(Archive!$C:$C,Archive!$B:$B,$A18,Archive!$I:$I,"&gt;="&amp;F$10,Archive!$I:$I,"&lt;"&amp;G$10,Archive!$J:$J,_xlfn.XLOOKUP($S$1,Lists!$B:$B,Lists!$A:$A))&gt;0,
SUMIFS(Archive!$C:$C,Archive!$B:$B,$A18,Archive!$I:$I,"&gt;="&amp;F$10,Archive!$I:$I,"&lt;"&amp;G$10,Archive!$J:$J,_xlfn.XLOOKUP($S$1,Lists!$B:$B,Lists!$A:$A)),NA()))</f>
        <v>#N/A</v>
      </c>
      <c r="G18" s="3" t="e">
        <f>IF($S$1=10,IF(
SUMIFS(Archive!$C:$C,Archive!$B:$B,$A18,Archive!$I:$I,"&gt;="&amp;G$10,Archive!$I:$I,"&lt;"&amp;H$10)&gt;0,
SUMIFS(Archive!$C:$C,Archive!$B:$B,$A18,Archive!$I:$I,"&gt;="&amp;G$10,Archive!$I:$I,"&lt;"&amp;H$10),NA()),
IF(
SUMIFS(Archive!$C:$C,Archive!$B:$B,$A18,Archive!$I:$I,"&gt;="&amp;G$10,Archive!$I:$I,"&lt;"&amp;H$10,Archive!$J:$J,_xlfn.XLOOKUP($S$1,Lists!$B:$B,Lists!$A:$A))&gt;0,
SUMIFS(Archive!$C:$C,Archive!$B:$B,$A18,Archive!$I:$I,"&gt;="&amp;G$10,Archive!$I:$I,"&lt;"&amp;H$10,Archive!$J:$J,_xlfn.XLOOKUP($S$1,Lists!$B:$B,Lists!$A:$A)),NA()))</f>
        <v>#N/A</v>
      </c>
      <c r="H18" s="3" t="e">
        <f>IF($S$1=10,IF(
SUMIFS(Archive!$C:$C,Archive!$B:$B,$A18,Archive!$I:$I,"&gt;="&amp;H$10,Archive!$I:$I,"&lt;"&amp;I$10)&gt;0,
SUMIFS(Archive!$C:$C,Archive!$B:$B,$A18,Archive!$I:$I,"&gt;="&amp;H$10,Archive!$I:$I,"&lt;"&amp;I$10),NA()),
IF(
SUMIFS(Archive!$C:$C,Archive!$B:$B,$A18,Archive!$I:$I,"&gt;="&amp;H$10,Archive!$I:$I,"&lt;"&amp;I$10,Archive!$J:$J,_xlfn.XLOOKUP($S$1,Lists!$B:$B,Lists!$A:$A))&gt;0,
SUMIFS(Archive!$C:$C,Archive!$B:$B,$A18,Archive!$I:$I,"&gt;="&amp;H$10,Archive!$I:$I,"&lt;"&amp;I$10,Archive!$J:$J,_xlfn.XLOOKUP($S$1,Lists!$B:$B,Lists!$A:$A)),NA()))</f>
        <v>#N/A</v>
      </c>
      <c r="I18" s="3" t="e">
        <f>IF($S$1=10,IF(
SUMIFS(Archive!$C:$C,Archive!$B:$B,$A18,Archive!$I:$I,"&gt;="&amp;I$10,Archive!$I:$I,"&lt;"&amp;J$10)&gt;0,
SUMIFS(Archive!$C:$C,Archive!$B:$B,$A18,Archive!$I:$I,"&gt;="&amp;I$10,Archive!$I:$I,"&lt;"&amp;J$10),NA()),
IF(
SUMIFS(Archive!$C:$C,Archive!$B:$B,$A18,Archive!$I:$I,"&gt;="&amp;I$10,Archive!$I:$I,"&lt;"&amp;J$10,Archive!$J:$J,_xlfn.XLOOKUP($S$1,Lists!$B:$B,Lists!$A:$A))&gt;0,
SUMIFS(Archive!$C:$C,Archive!$B:$B,$A18,Archive!$I:$I,"&gt;="&amp;I$10,Archive!$I:$I,"&lt;"&amp;J$10,Archive!$J:$J,_xlfn.XLOOKUP($S$1,Lists!$B:$B,Lists!$A:$A)),NA()))</f>
        <v>#N/A</v>
      </c>
      <c r="J18" s="3" t="e">
        <f>IF($S$1=10,IF(
SUMIFS(Archive!$C:$C,Archive!$B:$B,$A18,Archive!$I:$I,"&gt;="&amp;J$10,Archive!$I:$I,"&lt;"&amp;K$10)&gt;0,
SUMIFS(Archive!$C:$C,Archive!$B:$B,$A18,Archive!$I:$I,"&gt;="&amp;J$10,Archive!$I:$I,"&lt;"&amp;K$10),NA()),
IF(
SUMIFS(Archive!$C:$C,Archive!$B:$B,$A18,Archive!$I:$I,"&gt;="&amp;J$10,Archive!$I:$I,"&lt;"&amp;K$10,Archive!$J:$J,_xlfn.XLOOKUP($S$1,Lists!$B:$B,Lists!$A:$A))&gt;0,
SUMIFS(Archive!$C:$C,Archive!$B:$B,$A18,Archive!$I:$I,"&gt;="&amp;J$10,Archive!$I:$I,"&lt;"&amp;K$10,Archive!$J:$J,_xlfn.XLOOKUP($S$1,Lists!$B:$B,Lists!$A:$A)),NA()))</f>
        <v>#N/A</v>
      </c>
      <c r="K18" s="3" t="e">
        <f>IF($S$1=10,IF(
SUMIFS(Archive!$C:$C,Archive!$B:$B,$A18,Archive!$I:$I,"&gt;="&amp;K$10,Archive!$I:$I,"&lt;"&amp;L$10)&gt;0,
SUMIFS(Archive!$C:$C,Archive!$B:$B,$A18,Archive!$I:$I,"&gt;="&amp;K$10,Archive!$I:$I,"&lt;"&amp;L$10),NA()),
IF(
SUMIFS(Archive!$C:$C,Archive!$B:$B,$A18,Archive!$I:$I,"&gt;="&amp;K$10,Archive!$I:$I,"&lt;"&amp;L$10,Archive!$J:$J,_xlfn.XLOOKUP($S$1,Lists!$B:$B,Lists!$A:$A))&gt;0,
SUMIFS(Archive!$C:$C,Archive!$B:$B,$A18,Archive!$I:$I,"&gt;="&amp;K$10,Archive!$I:$I,"&lt;"&amp;L$10,Archive!$J:$J,_xlfn.XLOOKUP($S$1,Lists!$B:$B,Lists!$A:$A)),NA()))</f>
        <v>#N/A</v>
      </c>
      <c r="L18" s="3" t="e">
        <f>IF($S$1=10,IF(
SUMIFS(Archive!$C:$C,Archive!$B:$B,$A18,Archive!$I:$I,"&gt;="&amp;L$10,Archive!$I:$I,"&lt;"&amp;M$10)&gt;0,
SUMIFS(Archive!$C:$C,Archive!$B:$B,$A18,Archive!$I:$I,"&gt;="&amp;L$10,Archive!$I:$I,"&lt;"&amp;M$10),NA()),
IF(
SUMIFS(Archive!$C:$C,Archive!$B:$B,$A18,Archive!$I:$I,"&gt;="&amp;L$10,Archive!$I:$I,"&lt;"&amp;M$10,Archive!$J:$J,_xlfn.XLOOKUP($S$1,Lists!$B:$B,Lists!$A:$A))&gt;0,
SUMIFS(Archive!$C:$C,Archive!$B:$B,$A18,Archive!$I:$I,"&gt;="&amp;L$10,Archive!$I:$I,"&lt;"&amp;M$10,Archive!$J:$J,_xlfn.XLOOKUP($S$1,Lists!$B:$B,Lists!$A:$A)),NA()))</f>
        <v>#N/A</v>
      </c>
      <c r="M18" s="3" t="e">
        <f>IF($S$1=10,IF(
SUMIFS(Archive!$C:$C,Archive!$B:$B,$A18,Archive!$I:$I,"&gt;="&amp;M$10,Archive!$I:$I,"&lt;"&amp;N$10)&gt;0,
SUMIFS(Archive!$C:$C,Archive!$B:$B,$A18,Archive!$I:$I,"&gt;="&amp;M$10,Archive!$I:$I,"&lt;"&amp;N$10),NA()),
IF(
SUMIFS(Archive!$C:$C,Archive!$B:$B,$A18,Archive!$I:$I,"&gt;="&amp;M$10,Archive!$I:$I,"&lt;"&amp;N$10,Archive!$J:$J,_xlfn.XLOOKUP($S$1,Lists!$B:$B,Lists!$A:$A))&gt;0,
SUMIFS(Archive!$C:$C,Archive!$B:$B,$A18,Archive!$I:$I,"&gt;="&amp;M$10,Archive!$I:$I,"&lt;"&amp;N$10,Archive!$J:$J,_xlfn.XLOOKUP($S$1,Lists!$B:$B,Lists!$A:$A)),NA()))</f>
        <v>#N/A</v>
      </c>
      <c r="N18" s="15" t="e">
        <f>IF($S$1=10,IF(
SUMIFS(Archive!$C:$C,Archive!$B:$B,$A18,Archive!$I:$I,"&gt;="&amp;N$10,Archive!$I:$I,"&lt;"&amp;O$10)&gt;0,
SUMIFS(Archive!$C:$C,Archive!$B:$B,$A18,Archive!$I:$I,"&gt;="&amp;N$10,Archive!$I:$I,"&lt;"&amp;O$10),NA()),
IF(
SUMIFS(Archive!$C:$C,Archive!$B:$B,$A18,Archive!$I:$I,"&gt;="&amp;N$10,Archive!$I:$I,"&lt;"&amp;O$10,Archive!$J:$J,_xlfn.XLOOKUP($S$1,Lists!$B:$B,Lists!$A:$A))&gt;0,
SUMIFS(Archive!$C:$C,Archive!$B:$B,$A18,Archive!$I:$I,"&gt;="&amp;N$10,Archive!$I:$I,"&lt;"&amp;O$10,Archive!$J:$J,_xlfn.XLOOKUP($S$1,Lists!$B:$B,Lists!$A:$A)),NA()))</f>
        <v>#N/A</v>
      </c>
    </row>
    <row r="19" spans="1:52" ht="15">
      <c r="A19" s="16" t="s">
        <v>12</v>
      </c>
      <c r="B19" s="30">
        <f>IF($S$1=10,SUMIFS(Archive!C:C,Archive!B:B,A19),
SUMIFS(Archive!C:C,Archive!B:B,A19,Archive!J:J,_xlfn.XLOOKUP($S$1,Lists!$B:$B,Lists!$A:$A)))</f>
        <v>0</v>
      </c>
      <c r="C19" s="31" t="e">
        <f>IF($S$1=10,IF(
SUMIFS(Archive!$C:$C,Archive!$B:$B,$A19,Archive!$I:$I,"&gt;="&amp;C$10,Archive!$I:$I,"&lt;"&amp;D$10)&gt;0,
SUMIFS(Archive!$C:$C,Archive!$B:$B,$A19,Archive!$I:$I,"&gt;="&amp;C$10,Archive!$I:$I,"&lt;"&amp;D$10),NA()),
IF(
SUMIFS(Archive!$C:$C,Archive!$B:$B,$A19,Archive!$I:$I,"&gt;="&amp;C$10,Archive!$I:$I,"&lt;"&amp;D$10,Archive!$J:$J,_xlfn.XLOOKUP($S$1,Lists!$B:$B,Lists!$A:$A))&gt;0,
SUMIFS(Archive!$C:$C,Archive!$B:$B,$A19,Archive!$I:$I,"&gt;="&amp;C$10,Archive!$I:$I,"&lt;"&amp;D$10,Archive!$J:$J,_xlfn.XLOOKUP($S$1,Lists!$B:$B,Lists!$A:$A)),NA()))</f>
        <v>#N/A</v>
      </c>
      <c r="D19" s="7" t="e">
        <f>IF($S$1=10,IF(
SUMIFS(Archive!$C:$C,Archive!$B:$B,$A19,Archive!$I:$I,"&gt;="&amp;D$10,Archive!$I:$I,"&lt;"&amp;E$10)&gt;0,
SUMIFS(Archive!$C:$C,Archive!$B:$B,$A19,Archive!$I:$I,"&gt;="&amp;D$10,Archive!$I:$I,"&lt;"&amp;E$10),NA()),
IF(
SUMIFS(Archive!$C:$C,Archive!$B:$B,$A19,Archive!$I:$I,"&gt;="&amp;D$10,Archive!$I:$I,"&lt;"&amp;E$10,Archive!$J:$J,_xlfn.XLOOKUP($S$1,Lists!$B:$B,Lists!$A:$A))&gt;0,
SUMIFS(Archive!$C:$C,Archive!$B:$B,$A19,Archive!$I:$I,"&gt;="&amp;D$10,Archive!$I:$I,"&lt;"&amp;E$10,Archive!$J:$J,_xlfn.XLOOKUP($S$1,Lists!$B:$B,Lists!$A:$A)),NA()))</f>
        <v>#N/A</v>
      </c>
      <c r="E19" s="7" t="e">
        <f>IF($S$1=10,IF(
SUMIFS(Archive!$C:$C,Archive!$B:$B,$A19,Archive!$I:$I,"&gt;="&amp;E$10,Archive!$I:$I,"&lt;"&amp;F$10)&gt;0,
SUMIFS(Archive!$C:$C,Archive!$B:$B,$A19,Archive!$I:$I,"&gt;="&amp;E$10,Archive!$I:$I,"&lt;"&amp;F$10),NA()),
IF(
SUMIFS(Archive!$C:$C,Archive!$B:$B,$A19,Archive!$I:$I,"&gt;="&amp;E$10,Archive!$I:$I,"&lt;"&amp;F$10,Archive!$J:$J,_xlfn.XLOOKUP($S$1,Lists!$B:$B,Lists!$A:$A))&gt;0,
SUMIFS(Archive!$C:$C,Archive!$B:$B,$A19,Archive!$I:$I,"&gt;="&amp;E$10,Archive!$I:$I,"&lt;"&amp;F$10,Archive!$J:$J,_xlfn.XLOOKUP($S$1,Lists!$B:$B,Lists!$A:$A)),NA()))</f>
        <v>#N/A</v>
      </c>
      <c r="F19" s="7" t="e">
        <f>IF($S$1=10,IF(
SUMIFS(Archive!$C:$C,Archive!$B:$B,$A19,Archive!$I:$I,"&gt;="&amp;F$10,Archive!$I:$I,"&lt;"&amp;G$10)&gt;0,
SUMIFS(Archive!$C:$C,Archive!$B:$B,$A19,Archive!$I:$I,"&gt;="&amp;F$10,Archive!$I:$I,"&lt;"&amp;G$10),NA()),
IF(
SUMIFS(Archive!$C:$C,Archive!$B:$B,$A19,Archive!$I:$I,"&gt;="&amp;F$10,Archive!$I:$I,"&lt;"&amp;G$10,Archive!$J:$J,_xlfn.XLOOKUP($S$1,Lists!$B:$B,Lists!$A:$A))&gt;0,
SUMIFS(Archive!$C:$C,Archive!$B:$B,$A19,Archive!$I:$I,"&gt;="&amp;F$10,Archive!$I:$I,"&lt;"&amp;G$10,Archive!$J:$J,_xlfn.XLOOKUP($S$1,Lists!$B:$B,Lists!$A:$A)),NA()))</f>
        <v>#N/A</v>
      </c>
      <c r="G19" s="7" t="e">
        <f>IF($S$1=10,IF(
SUMIFS(Archive!$C:$C,Archive!$B:$B,$A19,Archive!$I:$I,"&gt;="&amp;G$10,Archive!$I:$I,"&lt;"&amp;H$10)&gt;0,
SUMIFS(Archive!$C:$C,Archive!$B:$B,$A19,Archive!$I:$I,"&gt;="&amp;G$10,Archive!$I:$I,"&lt;"&amp;H$10),NA()),
IF(
SUMIFS(Archive!$C:$C,Archive!$B:$B,$A19,Archive!$I:$I,"&gt;="&amp;G$10,Archive!$I:$I,"&lt;"&amp;H$10,Archive!$J:$J,_xlfn.XLOOKUP($S$1,Lists!$B:$B,Lists!$A:$A))&gt;0,
SUMIFS(Archive!$C:$C,Archive!$B:$B,$A19,Archive!$I:$I,"&gt;="&amp;G$10,Archive!$I:$I,"&lt;"&amp;H$10,Archive!$J:$J,_xlfn.XLOOKUP($S$1,Lists!$B:$B,Lists!$A:$A)),NA()))</f>
        <v>#N/A</v>
      </c>
      <c r="H19" s="7" t="e">
        <f>IF($S$1=10,IF(
SUMIFS(Archive!$C:$C,Archive!$B:$B,$A19,Archive!$I:$I,"&gt;="&amp;H$10,Archive!$I:$I,"&lt;"&amp;I$10)&gt;0,
SUMIFS(Archive!$C:$C,Archive!$B:$B,$A19,Archive!$I:$I,"&gt;="&amp;H$10,Archive!$I:$I,"&lt;"&amp;I$10),NA()),
IF(
SUMIFS(Archive!$C:$C,Archive!$B:$B,$A19,Archive!$I:$I,"&gt;="&amp;H$10,Archive!$I:$I,"&lt;"&amp;I$10,Archive!$J:$J,_xlfn.XLOOKUP($S$1,Lists!$B:$B,Lists!$A:$A))&gt;0,
SUMIFS(Archive!$C:$C,Archive!$B:$B,$A19,Archive!$I:$I,"&gt;="&amp;H$10,Archive!$I:$I,"&lt;"&amp;I$10,Archive!$J:$J,_xlfn.XLOOKUP($S$1,Lists!$B:$B,Lists!$A:$A)),NA()))</f>
        <v>#N/A</v>
      </c>
      <c r="I19" s="7" t="e">
        <f>IF($S$1=10,IF(
SUMIFS(Archive!$C:$C,Archive!$B:$B,$A19,Archive!$I:$I,"&gt;="&amp;I$10,Archive!$I:$I,"&lt;"&amp;J$10)&gt;0,
SUMIFS(Archive!$C:$C,Archive!$B:$B,$A19,Archive!$I:$I,"&gt;="&amp;I$10,Archive!$I:$I,"&lt;"&amp;J$10),NA()),
IF(
SUMIFS(Archive!$C:$C,Archive!$B:$B,$A19,Archive!$I:$I,"&gt;="&amp;I$10,Archive!$I:$I,"&lt;"&amp;J$10,Archive!$J:$J,_xlfn.XLOOKUP($S$1,Lists!$B:$B,Lists!$A:$A))&gt;0,
SUMIFS(Archive!$C:$C,Archive!$B:$B,$A19,Archive!$I:$I,"&gt;="&amp;I$10,Archive!$I:$I,"&lt;"&amp;J$10,Archive!$J:$J,_xlfn.XLOOKUP($S$1,Lists!$B:$B,Lists!$A:$A)),NA()))</f>
        <v>#N/A</v>
      </c>
      <c r="J19" s="7" t="e">
        <f>IF($S$1=10,IF(
SUMIFS(Archive!$C:$C,Archive!$B:$B,$A19,Archive!$I:$I,"&gt;="&amp;J$10,Archive!$I:$I,"&lt;"&amp;K$10)&gt;0,
SUMIFS(Archive!$C:$C,Archive!$B:$B,$A19,Archive!$I:$I,"&gt;="&amp;J$10,Archive!$I:$I,"&lt;"&amp;K$10),NA()),
IF(
SUMIFS(Archive!$C:$C,Archive!$B:$B,$A19,Archive!$I:$I,"&gt;="&amp;J$10,Archive!$I:$I,"&lt;"&amp;K$10,Archive!$J:$J,_xlfn.XLOOKUP($S$1,Lists!$B:$B,Lists!$A:$A))&gt;0,
SUMIFS(Archive!$C:$C,Archive!$B:$B,$A19,Archive!$I:$I,"&gt;="&amp;J$10,Archive!$I:$I,"&lt;"&amp;K$10,Archive!$J:$J,_xlfn.XLOOKUP($S$1,Lists!$B:$B,Lists!$A:$A)),NA()))</f>
        <v>#N/A</v>
      </c>
      <c r="K19" s="7" t="e">
        <f>IF($S$1=10,IF(
SUMIFS(Archive!$C:$C,Archive!$B:$B,$A19,Archive!$I:$I,"&gt;="&amp;K$10,Archive!$I:$I,"&lt;"&amp;L$10)&gt;0,
SUMIFS(Archive!$C:$C,Archive!$B:$B,$A19,Archive!$I:$I,"&gt;="&amp;K$10,Archive!$I:$I,"&lt;"&amp;L$10),NA()),
IF(
SUMIFS(Archive!$C:$C,Archive!$B:$B,$A19,Archive!$I:$I,"&gt;="&amp;K$10,Archive!$I:$I,"&lt;"&amp;L$10,Archive!$J:$J,_xlfn.XLOOKUP($S$1,Lists!$B:$B,Lists!$A:$A))&gt;0,
SUMIFS(Archive!$C:$C,Archive!$B:$B,$A19,Archive!$I:$I,"&gt;="&amp;K$10,Archive!$I:$I,"&lt;"&amp;L$10,Archive!$J:$J,_xlfn.XLOOKUP($S$1,Lists!$B:$B,Lists!$A:$A)),NA()))</f>
        <v>#N/A</v>
      </c>
      <c r="L19" s="7" t="e">
        <f>IF($S$1=10,IF(
SUMIFS(Archive!$C:$C,Archive!$B:$B,$A19,Archive!$I:$I,"&gt;="&amp;L$10,Archive!$I:$I,"&lt;"&amp;M$10)&gt;0,
SUMIFS(Archive!$C:$C,Archive!$B:$B,$A19,Archive!$I:$I,"&gt;="&amp;L$10,Archive!$I:$I,"&lt;"&amp;M$10),NA()),
IF(
SUMIFS(Archive!$C:$C,Archive!$B:$B,$A19,Archive!$I:$I,"&gt;="&amp;L$10,Archive!$I:$I,"&lt;"&amp;M$10,Archive!$J:$J,_xlfn.XLOOKUP($S$1,Lists!$B:$B,Lists!$A:$A))&gt;0,
SUMIFS(Archive!$C:$C,Archive!$B:$B,$A19,Archive!$I:$I,"&gt;="&amp;L$10,Archive!$I:$I,"&lt;"&amp;M$10,Archive!$J:$J,_xlfn.XLOOKUP($S$1,Lists!$B:$B,Lists!$A:$A)),NA()))</f>
        <v>#N/A</v>
      </c>
      <c r="M19" s="7" t="e">
        <f>IF($S$1=10,IF(
SUMIFS(Archive!$C:$C,Archive!$B:$B,$A19,Archive!$I:$I,"&gt;="&amp;M$10,Archive!$I:$I,"&lt;"&amp;N$10)&gt;0,
SUMIFS(Archive!$C:$C,Archive!$B:$B,$A19,Archive!$I:$I,"&gt;="&amp;M$10,Archive!$I:$I,"&lt;"&amp;N$10),NA()),
IF(
SUMIFS(Archive!$C:$C,Archive!$B:$B,$A19,Archive!$I:$I,"&gt;="&amp;M$10,Archive!$I:$I,"&lt;"&amp;N$10,Archive!$J:$J,_xlfn.XLOOKUP($S$1,Lists!$B:$B,Lists!$A:$A))&gt;0,
SUMIFS(Archive!$C:$C,Archive!$B:$B,$A19,Archive!$I:$I,"&gt;="&amp;M$10,Archive!$I:$I,"&lt;"&amp;N$10,Archive!$J:$J,_xlfn.XLOOKUP($S$1,Lists!$B:$B,Lists!$A:$A)),NA()))</f>
        <v>#N/A</v>
      </c>
      <c r="N19" s="17" t="e">
        <f>IF($S$1=10,IF(
SUMIFS(Archive!$C:$C,Archive!$B:$B,$A19,Archive!$I:$I,"&gt;="&amp;N$10,Archive!$I:$I,"&lt;"&amp;O$10)&gt;0,
SUMIFS(Archive!$C:$C,Archive!$B:$B,$A19,Archive!$I:$I,"&gt;="&amp;N$10,Archive!$I:$I,"&lt;"&amp;O$10),NA()),
IF(
SUMIFS(Archive!$C:$C,Archive!$B:$B,$A19,Archive!$I:$I,"&gt;="&amp;N$10,Archive!$I:$I,"&lt;"&amp;O$10,Archive!$J:$J,_xlfn.XLOOKUP($S$1,Lists!$B:$B,Lists!$A:$A))&gt;0,
SUMIFS(Archive!$C:$C,Archive!$B:$B,$A19,Archive!$I:$I,"&gt;="&amp;N$10,Archive!$I:$I,"&lt;"&amp;O$10,Archive!$J:$J,_xlfn.XLOOKUP($S$1,Lists!$B:$B,Lists!$A:$A)),NA()))</f>
        <v>#N/A</v>
      </c>
    </row>
    <row r="20" spans="1:52" ht="15">
      <c r="A20" s="20" t="s">
        <v>13</v>
      </c>
      <c r="B20" s="34">
        <f>IF($S$1=10,SUMIFS(Archive!C:C,Archive!B:B,A20),
SUMIFS(Archive!C:C,Archive!B:B,A20,Archive!J:J,_xlfn.XLOOKUP($S$1,Lists!$B:$B,Lists!$A:$A)))</f>
        <v>0</v>
      </c>
      <c r="C20" s="35" t="e">
        <f>IF($S$1=10,IF(
SUMIFS(Archive!$C:$C,Archive!$B:$B,$A20,Archive!$I:$I,"&gt;="&amp;C$10,Archive!$I:$I,"&lt;"&amp;D$10)&gt;0,
SUMIFS(Archive!$C:$C,Archive!$B:$B,$A20,Archive!$I:$I,"&gt;="&amp;C$10,Archive!$I:$I,"&lt;"&amp;D$10),NA()),
IF(
SUMIFS(Archive!$C:$C,Archive!$B:$B,$A20,Archive!$I:$I,"&gt;="&amp;C$10,Archive!$I:$I,"&lt;"&amp;D$10,Archive!$J:$J,_xlfn.XLOOKUP($S$1,Lists!$B:$B,Lists!$A:$A))&gt;0,
SUMIFS(Archive!$C:$C,Archive!$B:$B,$A20,Archive!$I:$I,"&gt;="&amp;C$10,Archive!$I:$I,"&lt;"&amp;D$10,Archive!$J:$J,_xlfn.XLOOKUP($S$1,Lists!$B:$B,Lists!$A:$A)),NA()))</f>
        <v>#N/A</v>
      </c>
      <c r="D20" s="4" t="e">
        <f>IF($S$1=10,IF(
SUMIFS(Archive!$C:$C,Archive!$B:$B,$A20,Archive!$I:$I,"&gt;="&amp;D$10,Archive!$I:$I,"&lt;"&amp;E$10)&gt;0,
SUMIFS(Archive!$C:$C,Archive!$B:$B,$A20,Archive!$I:$I,"&gt;="&amp;D$10,Archive!$I:$I,"&lt;"&amp;E$10),NA()),
IF(
SUMIFS(Archive!$C:$C,Archive!$B:$B,$A20,Archive!$I:$I,"&gt;="&amp;D$10,Archive!$I:$I,"&lt;"&amp;E$10,Archive!$J:$J,_xlfn.XLOOKUP($S$1,Lists!$B:$B,Lists!$A:$A))&gt;0,
SUMIFS(Archive!$C:$C,Archive!$B:$B,$A20,Archive!$I:$I,"&gt;="&amp;D$10,Archive!$I:$I,"&lt;"&amp;E$10,Archive!$J:$J,_xlfn.XLOOKUP($S$1,Lists!$B:$B,Lists!$A:$A)),NA()))</f>
        <v>#N/A</v>
      </c>
      <c r="E20" s="4" t="e">
        <f>IF($S$1=10,IF(
SUMIFS(Archive!$C:$C,Archive!$B:$B,$A20,Archive!$I:$I,"&gt;="&amp;E$10,Archive!$I:$I,"&lt;"&amp;F$10)&gt;0,
SUMIFS(Archive!$C:$C,Archive!$B:$B,$A20,Archive!$I:$I,"&gt;="&amp;E$10,Archive!$I:$I,"&lt;"&amp;F$10),NA()),
IF(
SUMIFS(Archive!$C:$C,Archive!$B:$B,$A20,Archive!$I:$I,"&gt;="&amp;E$10,Archive!$I:$I,"&lt;"&amp;F$10,Archive!$J:$J,_xlfn.XLOOKUP($S$1,Lists!$B:$B,Lists!$A:$A))&gt;0,
SUMIFS(Archive!$C:$C,Archive!$B:$B,$A20,Archive!$I:$I,"&gt;="&amp;E$10,Archive!$I:$I,"&lt;"&amp;F$10,Archive!$J:$J,_xlfn.XLOOKUP($S$1,Lists!$B:$B,Lists!$A:$A)),NA()))</f>
        <v>#N/A</v>
      </c>
      <c r="F20" s="4" t="e">
        <f>IF($S$1=10,IF(
SUMIFS(Archive!$C:$C,Archive!$B:$B,$A20,Archive!$I:$I,"&gt;="&amp;F$10,Archive!$I:$I,"&lt;"&amp;G$10)&gt;0,
SUMIFS(Archive!$C:$C,Archive!$B:$B,$A20,Archive!$I:$I,"&gt;="&amp;F$10,Archive!$I:$I,"&lt;"&amp;G$10),NA()),
IF(
SUMIFS(Archive!$C:$C,Archive!$B:$B,$A20,Archive!$I:$I,"&gt;="&amp;F$10,Archive!$I:$I,"&lt;"&amp;G$10,Archive!$J:$J,_xlfn.XLOOKUP($S$1,Lists!$B:$B,Lists!$A:$A))&gt;0,
SUMIFS(Archive!$C:$C,Archive!$B:$B,$A20,Archive!$I:$I,"&gt;="&amp;F$10,Archive!$I:$I,"&lt;"&amp;G$10,Archive!$J:$J,_xlfn.XLOOKUP($S$1,Lists!$B:$B,Lists!$A:$A)),NA()))</f>
        <v>#N/A</v>
      </c>
      <c r="G20" s="4" t="e">
        <f>IF($S$1=10,IF(
SUMIFS(Archive!$C:$C,Archive!$B:$B,$A20,Archive!$I:$I,"&gt;="&amp;G$10,Archive!$I:$I,"&lt;"&amp;H$10)&gt;0,
SUMIFS(Archive!$C:$C,Archive!$B:$B,$A20,Archive!$I:$I,"&gt;="&amp;G$10,Archive!$I:$I,"&lt;"&amp;H$10),NA()),
IF(
SUMIFS(Archive!$C:$C,Archive!$B:$B,$A20,Archive!$I:$I,"&gt;="&amp;G$10,Archive!$I:$I,"&lt;"&amp;H$10,Archive!$J:$J,_xlfn.XLOOKUP($S$1,Lists!$B:$B,Lists!$A:$A))&gt;0,
SUMIFS(Archive!$C:$C,Archive!$B:$B,$A20,Archive!$I:$I,"&gt;="&amp;G$10,Archive!$I:$I,"&lt;"&amp;H$10,Archive!$J:$J,_xlfn.XLOOKUP($S$1,Lists!$B:$B,Lists!$A:$A)),NA()))</f>
        <v>#N/A</v>
      </c>
      <c r="H20" s="4" t="e">
        <f>IF($S$1=10,IF(
SUMIFS(Archive!$C:$C,Archive!$B:$B,$A20,Archive!$I:$I,"&gt;="&amp;H$10,Archive!$I:$I,"&lt;"&amp;I$10)&gt;0,
SUMIFS(Archive!$C:$C,Archive!$B:$B,$A20,Archive!$I:$I,"&gt;="&amp;H$10,Archive!$I:$I,"&lt;"&amp;I$10),NA()),
IF(
SUMIFS(Archive!$C:$C,Archive!$B:$B,$A20,Archive!$I:$I,"&gt;="&amp;H$10,Archive!$I:$I,"&lt;"&amp;I$10,Archive!$J:$J,_xlfn.XLOOKUP($S$1,Lists!$B:$B,Lists!$A:$A))&gt;0,
SUMIFS(Archive!$C:$C,Archive!$B:$B,$A20,Archive!$I:$I,"&gt;="&amp;H$10,Archive!$I:$I,"&lt;"&amp;I$10,Archive!$J:$J,_xlfn.XLOOKUP($S$1,Lists!$B:$B,Lists!$A:$A)),NA()))</f>
        <v>#N/A</v>
      </c>
      <c r="I20" s="4" t="e">
        <f>IF($S$1=10,IF(
SUMIFS(Archive!$C:$C,Archive!$B:$B,$A20,Archive!$I:$I,"&gt;="&amp;I$10,Archive!$I:$I,"&lt;"&amp;J$10)&gt;0,
SUMIFS(Archive!$C:$C,Archive!$B:$B,$A20,Archive!$I:$I,"&gt;="&amp;I$10,Archive!$I:$I,"&lt;"&amp;J$10),NA()),
IF(
SUMIFS(Archive!$C:$C,Archive!$B:$B,$A20,Archive!$I:$I,"&gt;="&amp;I$10,Archive!$I:$I,"&lt;"&amp;J$10,Archive!$J:$J,_xlfn.XLOOKUP($S$1,Lists!$B:$B,Lists!$A:$A))&gt;0,
SUMIFS(Archive!$C:$C,Archive!$B:$B,$A20,Archive!$I:$I,"&gt;="&amp;I$10,Archive!$I:$I,"&lt;"&amp;J$10,Archive!$J:$J,_xlfn.XLOOKUP($S$1,Lists!$B:$B,Lists!$A:$A)),NA()))</f>
        <v>#N/A</v>
      </c>
      <c r="J20" s="4" t="e">
        <f>IF($S$1=10,IF(
SUMIFS(Archive!$C:$C,Archive!$B:$B,$A20,Archive!$I:$I,"&gt;="&amp;J$10,Archive!$I:$I,"&lt;"&amp;K$10)&gt;0,
SUMIFS(Archive!$C:$C,Archive!$B:$B,$A20,Archive!$I:$I,"&gt;="&amp;J$10,Archive!$I:$I,"&lt;"&amp;K$10),NA()),
IF(
SUMIFS(Archive!$C:$C,Archive!$B:$B,$A20,Archive!$I:$I,"&gt;="&amp;J$10,Archive!$I:$I,"&lt;"&amp;K$10,Archive!$J:$J,_xlfn.XLOOKUP($S$1,Lists!$B:$B,Lists!$A:$A))&gt;0,
SUMIFS(Archive!$C:$C,Archive!$B:$B,$A20,Archive!$I:$I,"&gt;="&amp;J$10,Archive!$I:$I,"&lt;"&amp;K$10,Archive!$J:$J,_xlfn.XLOOKUP($S$1,Lists!$B:$B,Lists!$A:$A)),NA()))</f>
        <v>#N/A</v>
      </c>
      <c r="K20" s="4" t="e">
        <f>IF($S$1=10,IF(
SUMIFS(Archive!$C:$C,Archive!$B:$B,$A20,Archive!$I:$I,"&gt;="&amp;K$10,Archive!$I:$I,"&lt;"&amp;L$10)&gt;0,
SUMIFS(Archive!$C:$C,Archive!$B:$B,$A20,Archive!$I:$I,"&gt;="&amp;K$10,Archive!$I:$I,"&lt;"&amp;L$10),NA()),
IF(
SUMIFS(Archive!$C:$C,Archive!$B:$B,$A20,Archive!$I:$I,"&gt;="&amp;K$10,Archive!$I:$I,"&lt;"&amp;L$10,Archive!$J:$J,_xlfn.XLOOKUP($S$1,Lists!$B:$B,Lists!$A:$A))&gt;0,
SUMIFS(Archive!$C:$C,Archive!$B:$B,$A20,Archive!$I:$I,"&gt;="&amp;K$10,Archive!$I:$I,"&lt;"&amp;L$10,Archive!$J:$J,_xlfn.XLOOKUP($S$1,Lists!$B:$B,Lists!$A:$A)),NA()))</f>
        <v>#N/A</v>
      </c>
      <c r="L20" s="4" t="e">
        <f>IF($S$1=10,IF(
SUMIFS(Archive!$C:$C,Archive!$B:$B,$A20,Archive!$I:$I,"&gt;="&amp;L$10,Archive!$I:$I,"&lt;"&amp;M$10)&gt;0,
SUMIFS(Archive!$C:$C,Archive!$B:$B,$A20,Archive!$I:$I,"&gt;="&amp;L$10,Archive!$I:$I,"&lt;"&amp;M$10),NA()),
IF(
SUMIFS(Archive!$C:$C,Archive!$B:$B,$A20,Archive!$I:$I,"&gt;="&amp;L$10,Archive!$I:$I,"&lt;"&amp;M$10,Archive!$J:$J,_xlfn.XLOOKUP($S$1,Lists!$B:$B,Lists!$A:$A))&gt;0,
SUMIFS(Archive!$C:$C,Archive!$B:$B,$A20,Archive!$I:$I,"&gt;="&amp;L$10,Archive!$I:$I,"&lt;"&amp;M$10,Archive!$J:$J,_xlfn.XLOOKUP($S$1,Lists!$B:$B,Lists!$A:$A)),NA()))</f>
        <v>#N/A</v>
      </c>
      <c r="M20" s="4" t="e">
        <f>IF($S$1=10,IF(
SUMIFS(Archive!$C:$C,Archive!$B:$B,$A20,Archive!$I:$I,"&gt;="&amp;M$10,Archive!$I:$I,"&lt;"&amp;N$10)&gt;0,
SUMIFS(Archive!$C:$C,Archive!$B:$B,$A20,Archive!$I:$I,"&gt;="&amp;M$10,Archive!$I:$I,"&lt;"&amp;N$10),NA()),
IF(
SUMIFS(Archive!$C:$C,Archive!$B:$B,$A20,Archive!$I:$I,"&gt;="&amp;M$10,Archive!$I:$I,"&lt;"&amp;N$10,Archive!$J:$J,_xlfn.XLOOKUP($S$1,Lists!$B:$B,Lists!$A:$A))&gt;0,
SUMIFS(Archive!$C:$C,Archive!$B:$B,$A20,Archive!$I:$I,"&gt;="&amp;M$10,Archive!$I:$I,"&lt;"&amp;N$10,Archive!$J:$J,_xlfn.XLOOKUP($S$1,Lists!$B:$B,Lists!$A:$A)),NA()))</f>
        <v>#N/A</v>
      </c>
      <c r="N20" s="21" t="e">
        <f>IF($S$1=10,IF(
SUMIFS(Archive!$C:$C,Archive!$B:$B,$A20,Archive!$I:$I,"&gt;="&amp;N$10,Archive!$I:$I,"&lt;"&amp;O$10)&gt;0,
SUMIFS(Archive!$C:$C,Archive!$B:$B,$A20,Archive!$I:$I,"&gt;="&amp;N$10,Archive!$I:$I,"&lt;"&amp;O$10),NA()),
IF(
SUMIFS(Archive!$C:$C,Archive!$B:$B,$A20,Archive!$I:$I,"&gt;="&amp;N$10,Archive!$I:$I,"&lt;"&amp;O$10,Archive!$J:$J,_xlfn.XLOOKUP($S$1,Lists!$B:$B,Lists!$A:$A))&gt;0,
SUMIFS(Archive!$C:$C,Archive!$B:$B,$A20,Archive!$I:$I,"&gt;="&amp;N$10,Archive!$I:$I,"&lt;"&amp;O$10,Archive!$J:$J,_xlfn.XLOOKUP($S$1,Lists!$B:$B,Lists!$A:$A)),NA()))</f>
        <v>#N/A</v>
      </c>
    </row>
    <row r="21" spans="1:52" ht="15">
      <c r="A21" s="16" t="s">
        <v>14</v>
      </c>
      <c r="B21" s="30">
        <f>IF($S$1=10,SUMIFS(Archive!C:C,Archive!B:B,A21),
SUMIFS(Archive!C:C,Archive!B:B,A21,Archive!J:J,_xlfn.XLOOKUP($S$1,Lists!$B:$B,Lists!$A:$A)))</f>
        <v>0</v>
      </c>
      <c r="C21" s="31" t="e">
        <f>IF($S$1=10,IF(
SUMIFS(Archive!$C:$C,Archive!$B:$B,$A21,Archive!$I:$I,"&gt;="&amp;C$10,Archive!$I:$I,"&lt;"&amp;D$10)&gt;0,
SUMIFS(Archive!$C:$C,Archive!$B:$B,$A21,Archive!$I:$I,"&gt;="&amp;C$10,Archive!$I:$I,"&lt;"&amp;D$10),NA()),
IF(
SUMIFS(Archive!$C:$C,Archive!$B:$B,$A21,Archive!$I:$I,"&gt;="&amp;C$10,Archive!$I:$I,"&lt;"&amp;D$10,Archive!$J:$J,_xlfn.XLOOKUP($S$1,Lists!$B:$B,Lists!$A:$A))&gt;0,
SUMIFS(Archive!$C:$C,Archive!$B:$B,$A21,Archive!$I:$I,"&gt;="&amp;C$10,Archive!$I:$I,"&lt;"&amp;D$10,Archive!$J:$J,_xlfn.XLOOKUP($S$1,Lists!$B:$B,Lists!$A:$A)),NA()))</f>
        <v>#N/A</v>
      </c>
      <c r="D21" s="7" t="e">
        <f>IF($S$1=10,IF(
SUMIFS(Archive!$C:$C,Archive!$B:$B,$A21,Archive!$I:$I,"&gt;="&amp;D$10,Archive!$I:$I,"&lt;"&amp;E$10)&gt;0,
SUMIFS(Archive!$C:$C,Archive!$B:$B,$A21,Archive!$I:$I,"&gt;="&amp;D$10,Archive!$I:$I,"&lt;"&amp;E$10),NA()),
IF(
SUMIFS(Archive!$C:$C,Archive!$B:$B,$A21,Archive!$I:$I,"&gt;="&amp;D$10,Archive!$I:$I,"&lt;"&amp;E$10,Archive!$J:$J,_xlfn.XLOOKUP($S$1,Lists!$B:$B,Lists!$A:$A))&gt;0,
SUMIFS(Archive!$C:$C,Archive!$B:$B,$A21,Archive!$I:$I,"&gt;="&amp;D$10,Archive!$I:$I,"&lt;"&amp;E$10,Archive!$J:$J,_xlfn.XLOOKUP($S$1,Lists!$B:$B,Lists!$A:$A)),NA()))</f>
        <v>#N/A</v>
      </c>
      <c r="E21" s="7" t="e">
        <f>IF($S$1=10,IF(
SUMIFS(Archive!$C:$C,Archive!$B:$B,$A21,Archive!$I:$I,"&gt;="&amp;E$10,Archive!$I:$I,"&lt;"&amp;F$10)&gt;0,
SUMIFS(Archive!$C:$C,Archive!$B:$B,$A21,Archive!$I:$I,"&gt;="&amp;E$10,Archive!$I:$I,"&lt;"&amp;F$10),NA()),
IF(
SUMIFS(Archive!$C:$C,Archive!$B:$B,$A21,Archive!$I:$I,"&gt;="&amp;E$10,Archive!$I:$I,"&lt;"&amp;F$10,Archive!$J:$J,_xlfn.XLOOKUP($S$1,Lists!$B:$B,Lists!$A:$A))&gt;0,
SUMIFS(Archive!$C:$C,Archive!$B:$B,$A21,Archive!$I:$I,"&gt;="&amp;E$10,Archive!$I:$I,"&lt;"&amp;F$10,Archive!$J:$J,_xlfn.XLOOKUP($S$1,Lists!$B:$B,Lists!$A:$A)),NA()))</f>
        <v>#N/A</v>
      </c>
      <c r="F21" s="7" t="e">
        <f>IF($S$1=10,IF(
SUMIFS(Archive!$C:$C,Archive!$B:$B,$A21,Archive!$I:$I,"&gt;="&amp;F$10,Archive!$I:$I,"&lt;"&amp;G$10)&gt;0,
SUMIFS(Archive!$C:$C,Archive!$B:$B,$A21,Archive!$I:$I,"&gt;="&amp;F$10,Archive!$I:$I,"&lt;"&amp;G$10),NA()),
IF(
SUMIFS(Archive!$C:$C,Archive!$B:$B,$A21,Archive!$I:$I,"&gt;="&amp;F$10,Archive!$I:$I,"&lt;"&amp;G$10,Archive!$J:$J,_xlfn.XLOOKUP($S$1,Lists!$B:$B,Lists!$A:$A))&gt;0,
SUMIFS(Archive!$C:$C,Archive!$B:$B,$A21,Archive!$I:$I,"&gt;="&amp;F$10,Archive!$I:$I,"&lt;"&amp;G$10,Archive!$J:$J,_xlfn.XLOOKUP($S$1,Lists!$B:$B,Lists!$A:$A)),NA()))</f>
        <v>#N/A</v>
      </c>
      <c r="G21" s="7" t="e">
        <f>IF($S$1=10,IF(
SUMIFS(Archive!$C:$C,Archive!$B:$B,$A21,Archive!$I:$I,"&gt;="&amp;G$10,Archive!$I:$I,"&lt;"&amp;H$10)&gt;0,
SUMIFS(Archive!$C:$C,Archive!$B:$B,$A21,Archive!$I:$I,"&gt;="&amp;G$10,Archive!$I:$I,"&lt;"&amp;H$10),NA()),
IF(
SUMIFS(Archive!$C:$C,Archive!$B:$B,$A21,Archive!$I:$I,"&gt;="&amp;G$10,Archive!$I:$I,"&lt;"&amp;H$10,Archive!$J:$J,_xlfn.XLOOKUP($S$1,Lists!$B:$B,Lists!$A:$A))&gt;0,
SUMIFS(Archive!$C:$C,Archive!$B:$B,$A21,Archive!$I:$I,"&gt;="&amp;G$10,Archive!$I:$I,"&lt;"&amp;H$10,Archive!$J:$J,_xlfn.XLOOKUP($S$1,Lists!$B:$B,Lists!$A:$A)),NA()))</f>
        <v>#N/A</v>
      </c>
      <c r="H21" s="7" t="e">
        <f>IF($S$1=10,IF(
SUMIFS(Archive!$C:$C,Archive!$B:$B,$A21,Archive!$I:$I,"&gt;="&amp;H$10,Archive!$I:$I,"&lt;"&amp;I$10)&gt;0,
SUMIFS(Archive!$C:$C,Archive!$B:$B,$A21,Archive!$I:$I,"&gt;="&amp;H$10,Archive!$I:$I,"&lt;"&amp;I$10),NA()),
IF(
SUMIFS(Archive!$C:$C,Archive!$B:$B,$A21,Archive!$I:$I,"&gt;="&amp;H$10,Archive!$I:$I,"&lt;"&amp;I$10,Archive!$J:$J,_xlfn.XLOOKUP($S$1,Lists!$B:$B,Lists!$A:$A))&gt;0,
SUMIFS(Archive!$C:$C,Archive!$B:$B,$A21,Archive!$I:$I,"&gt;="&amp;H$10,Archive!$I:$I,"&lt;"&amp;I$10,Archive!$J:$J,_xlfn.XLOOKUP($S$1,Lists!$B:$B,Lists!$A:$A)),NA()))</f>
        <v>#N/A</v>
      </c>
      <c r="I21" s="7" t="e">
        <f>IF($S$1=10,IF(
SUMIFS(Archive!$C:$C,Archive!$B:$B,$A21,Archive!$I:$I,"&gt;="&amp;I$10,Archive!$I:$I,"&lt;"&amp;J$10)&gt;0,
SUMIFS(Archive!$C:$C,Archive!$B:$B,$A21,Archive!$I:$I,"&gt;="&amp;I$10,Archive!$I:$I,"&lt;"&amp;J$10),NA()),
IF(
SUMIFS(Archive!$C:$C,Archive!$B:$B,$A21,Archive!$I:$I,"&gt;="&amp;I$10,Archive!$I:$I,"&lt;"&amp;J$10,Archive!$J:$J,_xlfn.XLOOKUP($S$1,Lists!$B:$B,Lists!$A:$A))&gt;0,
SUMIFS(Archive!$C:$C,Archive!$B:$B,$A21,Archive!$I:$I,"&gt;="&amp;I$10,Archive!$I:$I,"&lt;"&amp;J$10,Archive!$J:$J,_xlfn.XLOOKUP($S$1,Lists!$B:$B,Lists!$A:$A)),NA()))</f>
        <v>#N/A</v>
      </c>
      <c r="J21" s="7" t="e">
        <f>IF($S$1=10,IF(
SUMIFS(Archive!$C:$C,Archive!$B:$B,$A21,Archive!$I:$I,"&gt;="&amp;J$10,Archive!$I:$I,"&lt;"&amp;K$10)&gt;0,
SUMIFS(Archive!$C:$C,Archive!$B:$B,$A21,Archive!$I:$I,"&gt;="&amp;J$10,Archive!$I:$I,"&lt;"&amp;K$10),NA()),
IF(
SUMIFS(Archive!$C:$C,Archive!$B:$B,$A21,Archive!$I:$I,"&gt;="&amp;J$10,Archive!$I:$I,"&lt;"&amp;K$10,Archive!$J:$J,_xlfn.XLOOKUP($S$1,Lists!$B:$B,Lists!$A:$A))&gt;0,
SUMIFS(Archive!$C:$C,Archive!$B:$B,$A21,Archive!$I:$I,"&gt;="&amp;J$10,Archive!$I:$I,"&lt;"&amp;K$10,Archive!$J:$J,_xlfn.XLOOKUP($S$1,Lists!$B:$B,Lists!$A:$A)),NA()))</f>
        <v>#N/A</v>
      </c>
      <c r="K21" s="7" t="e">
        <f>IF($S$1=10,IF(
SUMIFS(Archive!$C:$C,Archive!$B:$B,$A21,Archive!$I:$I,"&gt;="&amp;K$10,Archive!$I:$I,"&lt;"&amp;L$10)&gt;0,
SUMIFS(Archive!$C:$C,Archive!$B:$B,$A21,Archive!$I:$I,"&gt;="&amp;K$10,Archive!$I:$I,"&lt;"&amp;L$10),NA()),
IF(
SUMIFS(Archive!$C:$C,Archive!$B:$B,$A21,Archive!$I:$I,"&gt;="&amp;K$10,Archive!$I:$I,"&lt;"&amp;L$10,Archive!$J:$J,_xlfn.XLOOKUP($S$1,Lists!$B:$B,Lists!$A:$A))&gt;0,
SUMIFS(Archive!$C:$C,Archive!$B:$B,$A21,Archive!$I:$I,"&gt;="&amp;K$10,Archive!$I:$I,"&lt;"&amp;L$10,Archive!$J:$J,_xlfn.XLOOKUP($S$1,Lists!$B:$B,Lists!$A:$A)),NA()))</f>
        <v>#N/A</v>
      </c>
      <c r="L21" s="7" t="e">
        <f>IF($S$1=10,IF(
SUMIFS(Archive!$C:$C,Archive!$B:$B,$A21,Archive!$I:$I,"&gt;="&amp;L$10,Archive!$I:$I,"&lt;"&amp;M$10)&gt;0,
SUMIFS(Archive!$C:$C,Archive!$B:$B,$A21,Archive!$I:$I,"&gt;="&amp;L$10,Archive!$I:$I,"&lt;"&amp;M$10),NA()),
IF(
SUMIFS(Archive!$C:$C,Archive!$B:$B,$A21,Archive!$I:$I,"&gt;="&amp;L$10,Archive!$I:$I,"&lt;"&amp;M$10,Archive!$J:$J,_xlfn.XLOOKUP($S$1,Lists!$B:$B,Lists!$A:$A))&gt;0,
SUMIFS(Archive!$C:$C,Archive!$B:$B,$A21,Archive!$I:$I,"&gt;="&amp;L$10,Archive!$I:$I,"&lt;"&amp;M$10,Archive!$J:$J,_xlfn.XLOOKUP($S$1,Lists!$B:$B,Lists!$A:$A)),NA()))</f>
        <v>#N/A</v>
      </c>
      <c r="M21" s="7" t="e">
        <f>IF($S$1=10,IF(
SUMIFS(Archive!$C:$C,Archive!$B:$B,$A21,Archive!$I:$I,"&gt;="&amp;M$10,Archive!$I:$I,"&lt;"&amp;N$10)&gt;0,
SUMIFS(Archive!$C:$C,Archive!$B:$B,$A21,Archive!$I:$I,"&gt;="&amp;M$10,Archive!$I:$I,"&lt;"&amp;N$10),NA()),
IF(
SUMIFS(Archive!$C:$C,Archive!$B:$B,$A21,Archive!$I:$I,"&gt;="&amp;M$10,Archive!$I:$I,"&lt;"&amp;N$10,Archive!$J:$J,_xlfn.XLOOKUP($S$1,Lists!$B:$B,Lists!$A:$A))&gt;0,
SUMIFS(Archive!$C:$C,Archive!$B:$B,$A21,Archive!$I:$I,"&gt;="&amp;M$10,Archive!$I:$I,"&lt;"&amp;N$10,Archive!$J:$J,_xlfn.XLOOKUP($S$1,Lists!$B:$B,Lists!$A:$A)),NA()))</f>
        <v>#N/A</v>
      </c>
      <c r="N21" s="17" t="e">
        <f>IF($S$1=10,IF(
SUMIFS(Archive!$C:$C,Archive!$B:$B,$A21,Archive!$I:$I,"&gt;="&amp;N$10,Archive!$I:$I,"&lt;"&amp;O$10)&gt;0,
SUMIFS(Archive!$C:$C,Archive!$B:$B,$A21,Archive!$I:$I,"&gt;="&amp;N$10,Archive!$I:$I,"&lt;"&amp;O$10),NA()),
IF(
SUMIFS(Archive!$C:$C,Archive!$B:$B,$A21,Archive!$I:$I,"&gt;="&amp;N$10,Archive!$I:$I,"&lt;"&amp;O$10,Archive!$J:$J,_xlfn.XLOOKUP($S$1,Lists!$B:$B,Lists!$A:$A))&gt;0,
SUMIFS(Archive!$C:$C,Archive!$B:$B,$A21,Archive!$I:$I,"&gt;="&amp;N$10,Archive!$I:$I,"&lt;"&amp;O$10,Archive!$J:$J,_xlfn.XLOOKUP($S$1,Lists!$B:$B,Lists!$A:$A)),NA()))</f>
        <v>#N/A</v>
      </c>
    </row>
    <row r="22" spans="1:52" ht="15.75" thickBot="1">
      <c r="A22" s="22" t="s">
        <v>15</v>
      </c>
      <c r="B22" s="36">
        <f>IF($S$1=10,SUMIFS(Archive!C:C,Archive!B:B,A22),
SUMIFS(Archive!C:C,Archive!B:B,A22,Archive!J:J,_xlfn.XLOOKUP($S$1,Lists!$B:$B,Lists!$A:$A)))</f>
        <v>0</v>
      </c>
      <c r="C22" s="37" t="e">
        <f>IF($S$1=10,IF(
SUMIFS(Archive!$C:$C,Archive!$B:$B,$A22,Archive!$I:$I,"&gt;="&amp;C$10,Archive!$I:$I,"&lt;"&amp;D$10)&gt;0,
SUMIFS(Archive!$C:$C,Archive!$B:$B,$A22,Archive!$I:$I,"&gt;="&amp;C$10,Archive!$I:$I,"&lt;"&amp;D$10),NA()),
IF(
SUMIFS(Archive!$C:$C,Archive!$B:$B,$A22,Archive!$I:$I,"&gt;="&amp;C$10,Archive!$I:$I,"&lt;"&amp;D$10,Archive!$J:$J,_xlfn.XLOOKUP($S$1,Lists!$B:$B,Lists!$A:$A))&gt;0,
SUMIFS(Archive!$C:$C,Archive!$B:$B,$A22,Archive!$I:$I,"&gt;="&amp;C$10,Archive!$I:$I,"&lt;"&amp;D$10,Archive!$J:$J,_xlfn.XLOOKUP($S$1,Lists!$B:$B,Lists!$A:$A)),NA()))</f>
        <v>#N/A</v>
      </c>
      <c r="D22" s="23" t="e">
        <f>IF($S$1=10,IF(
SUMIFS(Archive!$C:$C,Archive!$B:$B,$A22,Archive!$I:$I,"&gt;="&amp;D$10,Archive!$I:$I,"&lt;"&amp;E$10)&gt;0,
SUMIFS(Archive!$C:$C,Archive!$B:$B,$A22,Archive!$I:$I,"&gt;="&amp;D$10,Archive!$I:$I,"&lt;"&amp;E$10),NA()),
IF(
SUMIFS(Archive!$C:$C,Archive!$B:$B,$A22,Archive!$I:$I,"&gt;="&amp;D$10,Archive!$I:$I,"&lt;"&amp;E$10,Archive!$J:$J,_xlfn.XLOOKUP($S$1,Lists!$B:$B,Lists!$A:$A))&gt;0,
SUMIFS(Archive!$C:$C,Archive!$B:$B,$A22,Archive!$I:$I,"&gt;="&amp;D$10,Archive!$I:$I,"&lt;"&amp;E$10,Archive!$J:$J,_xlfn.XLOOKUP($S$1,Lists!$B:$B,Lists!$A:$A)),NA()))</f>
        <v>#N/A</v>
      </c>
      <c r="E22" s="23" t="e">
        <f>IF($S$1=10,IF(
SUMIFS(Archive!$C:$C,Archive!$B:$B,$A22,Archive!$I:$I,"&gt;="&amp;E$10,Archive!$I:$I,"&lt;"&amp;F$10)&gt;0,
SUMIFS(Archive!$C:$C,Archive!$B:$B,$A22,Archive!$I:$I,"&gt;="&amp;E$10,Archive!$I:$I,"&lt;"&amp;F$10),NA()),
IF(
SUMIFS(Archive!$C:$C,Archive!$B:$B,$A22,Archive!$I:$I,"&gt;="&amp;E$10,Archive!$I:$I,"&lt;"&amp;F$10,Archive!$J:$J,_xlfn.XLOOKUP($S$1,Lists!$B:$B,Lists!$A:$A))&gt;0,
SUMIFS(Archive!$C:$C,Archive!$B:$B,$A22,Archive!$I:$I,"&gt;="&amp;E$10,Archive!$I:$I,"&lt;"&amp;F$10,Archive!$J:$J,_xlfn.XLOOKUP($S$1,Lists!$B:$B,Lists!$A:$A)),NA()))</f>
        <v>#N/A</v>
      </c>
      <c r="F22" s="23" t="e">
        <f>IF($S$1=10,IF(
SUMIFS(Archive!$C:$C,Archive!$B:$B,$A22,Archive!$I:$I,"&gt;="&amp;F$10,Archive!$I:$I,"&lt;"&amp;G$10)&gt;0,
SUMIFS(Archive!$C:$C,Archive!$B:$B,$A22,Archive!$I:$I,"&gt;="&amp;F$10,Archive!$I:$I,"&lt;"&amp;G$10),NA()),
IF(
SUMIFS(Archive!$C:$C,Archive!$B:$B,$A22,Archive!$I:$I,"&gt;="&amp;F$10,Archive!$I:$I,"&lt;"&amp;G$10,Archive!$J:$J,_xlfn.XLOOKUP($S$1,Lists!$B:$B,Lists!$A:$A))&gt;0,
SUMIFS(Archive!$C:$C,Archive!$B:$B,$A22,Archive!$I:$I,"&gt;="&amp;F$10,Archive!$I:$I,"&lt;"&amp;G$10,Archive!$J:$J,_xlfn.XLOOKUP($S$1,Lists!$B:$B,Lists!$A:$A)),NA()))</f>
        <v>#N/A</v>
      </c>
      <c r="G22" s="23" t="e">
        <f>IF($S$1=10,IF(
SUMIFS(Archive!$C:$C,Archive!$B:$B,$A22,Archive!$I:$I,"&gt;="&amp;G$10,Archive!$I:$I,"&lt;"&amp;H$10)&gt;0,
SUMIFS(Archive!$C:$C,Archive!$B:$B,$A22,Archive!$I:$I,"&gt;="&amp;G$10,Archive!$I:$I,"&lt;"&amp;H$10),NA()),
IF(
SUMIFS(Archive!$C:$C,Archive!$B:$B,$A22,Archive!$I:$I,"&gt;="&amp;G$10,Archive!$I:$I,"&lt;"&amp;H$10,Archive!$J:$J,_xlfn.XLOOKUP($S$1,Lists!$B:$B,Lists!$A:$A))&gt;0,
SUMIFS(Archive!$C:$C,Archive!$B:$B,$A22,Archive!$I:$I,"&gt;="&amp;G$10,Archive!$I:$I,"&lt;"&amp;H$10,Archive!$J:$J,_xlfn.XLOOKUP($S$1,Lists!$B:$B,Lists!$A:$A)),NA()))</f>
        <v>#N/A</v>
      </c>
      <c r="H22" s="23" t="e">
        <f>IF($S$1=10,IF(
SUMIFS(Archive!$C:$C,Archive!$B:$B,$A22,Archive!$I:$I,"&gt;="&amp;H$10,Archive!$I:$I,"&lt;"&amp;I$10)&gt;0,
SUMIFS(Archive!$C:$C,Archive!$B:$B,$A22,Archive!$I:$I,"&gt;="&amp;H$10,Archive!$I:$I,"&lt;"&amp;I$10),NA()),
IF(
SUMIFS(Archive!$C:$C,Archive!$B:$B,$A22,Archive!$I:$I,"&gt;="&amp;H$10,Archive!$I:$I,"&lt;"&amp;I$10,Archive!$J:$J,_xlfn.XLOOKUP($S$1,Lists!$B:$B,Lists!$A:$A))&gt;0,
SUMIFS(Archive!$C:$C,Archive!$B:$B,$A22,Archive!$I:$I,"&gt;="&amp;H$10,Archive!$I:$I,"&lt;"&amp;I$10,Archive!$J:$J,_xlfn.XLOOKUP($S$1,Lists!$B:$B,Lists!$A:$A)),NA()))</f>
        <v>#N/A</v>
      </c>
      <c r="I22" s="23" t="e">
        <f>IF($S$1=10,IF(
SUMIFS(Archive!$C:$C,Archive!$B:$B,$A22,Archive!$I:$I,"&gt;="&amp;I$10,Archive!$I:$I,"&lt;"&amp;J$10)&gt;0,
SUMIFS(Archive!$C:$C,Archive!$B:$B,$A22,Archive!$I:$I,"&gt;="&amp;I$10,Archive!$I:$I,"&lt;"&amp;J$10),NA()),
IF(
SUMIFS(Archive!$C:$C,Archive!$B:$B,$A22,Archive!$I:$I,"&gt;="&amp;I$10,Archive!$I:$I,"&lt;"&amp;J$10,Archive!$J:$J,_xlfn.XLOOKUP($S$1,Lists!$B:$B,Lists!$A:$A))&gt;0,
SUMIFS(Archive!$C:$C,Archive!$B:$B,$A22,Archive!$I:$I,"&gt;="&amp;I$10,Archive!$I:$I,"&lt;"&amp;J$10,Archive!$J:$J,_xlfn.XLOOKUP($S$1,Lists!$B:$B,Lists!$A:$A)),NA()))</f>
        <v>#N/A</v>
      </c>
      <c r="J22" s="23" t="e">
        <f>IF($S$1=10,IF(
SUMIFS(Archive!$C:$C,Archive!$B:$B,$A22,Archive!$I:$I,"&gt;="&amp;J$10,Archive!$I:$I,"&lt;"&amp;K$10)&gt;0,
SUMIFS(Archive!$C:$C,Archive!$B:$B,$A22,Archive!$I:$I,"&gt;="&amp;J$10,Archive!$I:$I,"&lt;"&amp;K$10),NA()),
IF(
SUMIFS(Archive!$C:$C,Archive!$B:$B,$A22,Archive!$I:$I,"&gt;="&amp;J$10,Archive!$I:$I,"&lt;"&amp;K$10,Archive!$J:$J,_xlfn.XLOOKUP($S$1,Lists!$B:$B,Lists!$A:$A))&gt;0,
SUMIFS(Archive!$C:$C,Archive!$B:$B,$A22,Archive!$I:$I,"&gt;="&amp;J$10,Archive!$I:$I,"&lt;"&amp;K$10,Archive!$J:$J,_xlfn.XLOOKUP($S$1,Lists!$B:$B,Lists!$A:$A)),NA()))</f>
        <v>#N/A</v>
      </c>
      <c r="K22" s="23" t="e">
        <f>IF($S$1=10,IF(
SUMIFS(Archive!$C:$C,Archive!$B:$B,$A22,Archive!$I:$I,"&gt;="&amp;K$10,Archive!$I:$I,"&lt;"&amp;L$10)&gt;0,
SUMIFS(Archive!$C:$C,Archive!$B:$B,$A22,Archive!$I:$I,"&gt;="&amp;K$10,Archive!$I:$I,"&lt;"&amp;L$10),NA()),
IF(
SUMIFS(Archive!$C:$C,Archive!$B:$B,$A22,Archive!$I:$I,"&gt;="&amp;K$10,Archive!$I:$I,"&lt;"&amp;L$10,Archive!$J:$J,_xlfn.XLOOKUP($S$1,Lists!$B:$B,Lists!$A:$A))&gt;0,
SUMIFS(Archive!$C:$C,Archive!$B:$B,$A22,Archive!$I:$I,"&gt;="&amp;K$10,Archive!$I:$I,"&lt;"&amp;L$10,Archive!$J:$J,_xlfn.XLOOKUP($S$1,Lists!$B:$B,Lists!$A:$A)),NA()))</f>
        <v>#N/A</v>
      </c>
      <c r="L22" s="23" t="e">
        <f>IF($S$1=10,IF(
SUMIFS(Archive!$C:$C,Archive!$B:$B,$A22,Archive!$I:$I,"&gt;="&amp;L$10,Archive!$I:$I,"&lt;"&amp;M$10)&gt;0,
SUMIFS(Archive!$C:$C,Archive!$B:$B,$A22,Archive!$I:$I,"&gt;="&amp;L$10,Archive!$I:$I,"&lt;"&amp;M$10),NA()),
IF(
SUMIFS(Archive!$C:$C,Archive!$B:$B,$A22,Archive!$I:$I,"&gt;="&amp;L$10,Archive!$I:$I,"&lt;"&amp;M$10,Archive!$J:$J,_xlfn.XLOOKUP($S$1,Lists!$B:$B,Lists!$A:$A))&gt;0,
SUMIFS(Archive!$C:$C,Archive!$B:$B,$A22,Archive!$I:$I,"&gt;="&amp;L$10,Archive!$I:$I,"&lt;"&amp;M$10,Archive!$J:$J,_xlfn.XLOOKUP($S$1,Lists!$B:$B,Lists!$A:$A)),NA()))</f>
        <v>#N/A</v>
      </c>
      <c r="M22" s="23" t="e">
        <f>IF($S$1=10,IF(
SUMIFS(Archive!$C:$C,Archive!$B:$B,$A22,Archive!$I:$I,"&gt;="&amp;M$10,Archive!$I:$I,"&lt;"&amp;N$10)&gt;0,
SUMIFS(Archive!$C:$C,Archive!$B:$B,$A22,Archive!$I:$I,"&gt;="&amp;M$10,Archive!$I:$I,"&lt;"&amp;N$10),NA()),
IF(
SUMIFS(Archive!$C:$C,Archive!$B:$B,$A22,Archive!$I:$I,"&gt;="&amp;M$10,Archive!$I:$I,"&lt;"&amp;N$10,Archive!$J:$J,_xlfn.XLOOKUP($S$1,Lists!$B:$B,Lists!$A:$A))&gt;0,
SUMIFS(Archive!$C:$C,Archive!$B:$B,$A22,Archive!$I:$I,"&gt;="&amp;M$10,Archive!$I:$I,"&lt;"&amp;N$10,Archive!$J:$J,_xlfn.XLOOKUP($S$1,Lists!$B:$B,Lists!$A:$A)),NA()))</f>
        <v>#N/A</v>
      </c>
      <c r="N22" s="24" t="e">
        <f>IF($S$1=10,IF(
SUMIFS(Archive!$C:$C,Archive!$B:$B,$A22,Archive!$I:$I,"&gt;="&amp;N$10,Archive!$I:$I,"&lt;"&amp;O$10)&gt;0,
SUMIFS(Archive!$C:$C,Archive!$B:$B,$A22,Archive!$I:$I,"&gt;="&amp;N$10,Archive!$I:$I,"&lt;"&amp;O$10),NA()),
IF(
SUMIFS(Archive!$C:$C,Archive!$B:$B,$A22,Archive!$I:$I,"&gt;="&amp;N$10,Archive!$I:$I,"&lt;"&amp;O$10,Archive!$J:$J,_xlfn.XLOOKUP($S$1,Lists!$B:$B,Lists!$A:$A))&gt;0,
SUMIFS(Archive!$C:$C,Archive!$B:$B,$A22,Archive!$I:$I,"&gt;="&amp;N$10,Archive!$I:$I,"&lt;"&amp;O$10,Archive!$J:$J,_xlfn.XLOOKUP($S$1,Lists!$B:$B,Lists!$A:$A)),NA()))</f>
        <v>#N/A</v>
      </c>
    </row>
    <row r="24" spans="1:52" s="38" customFormat="1" ht="12.75">
      <c r="B24" s="39" t="e" cm="1" vm="1">
        <f t="array" ref="B24">TRANSPOSE(_xlfn.UNIQUE(_xlfn._xlws.FILTER(Archive!I:I,ISNUMBER(Archive!I:I))))</f>
        <v>#VALUE!</v>
      </c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</row>
    <row r="25" spans="1:52">
      <c r="A25" t="s">
        <v>18</v>
      </c>
      <c r="B25" t="e">
        <f t="shared" ref="B25:AZ25" si="3">IF(SUM(B26:B28)&gt;0, SUM(B26:B28), NA())</f>
        <v>#N/A</v>
      </c>
      <c r="C25" t="e">
        <f t="shared" si="3"/>
        <v>#N/A</v>
      </c>
      <c r="D25" t="e">
        <f t="shared" si="3"/>
        <v>#N/A</v>
      </c>
      <c r="E25" t="e">
        <f t="shared" si="3"/>
        <v>#N/A</v>
      </c>
      <c r="F25" t="e">
        <f t="shared" si="3"/>
        <v>#N/A</v>
      </c>
      <c r="G25" t="e">
        <f t="shared" si="3"/>
        <v>#N/A</v>
      </c>
      <c r="H25" t="e">
        <f t="shared" si="3"/>
        <v>#N/A</v>
      </c>
      <c r="I25" t="e">
        <f t="shared" si="3"/>
        <v>#N/A</v>
      </c>
      <c r="J25" t="e">
        <f t="shared" si="3"/>
        <v>#N/A</v>
      </c>
      <c r="K25" t="e">
        <f t="shared" si="3"/>
        <v>#N/A</v>
      </c>
      <c r="L25" t="e">
        <f t="shared" si="3"/>
        <v>#N/A</v>
      </c>
      <c r="M25" t="e">
        <f t="shared" si="3"/>
        <v>#N/A</v>
      </c>
      <c r="N25" t="e">
        <f t="shared" si="3"/>
        <v>#N/A</v>
      </c>
      <c r="O25" t="e">
        <f t="shared" si="3"/>
        <v>#N/A</v>
      </c>
      <c r="P25" t="e">
        <f t="shared" si="3"/>
        <v>#N/A</v>
      </c>
      <c r="Q25" t="e">
        <f t="shared" si="3"/>
        <v>#N/A</v>
      </c>
      <c r="R25" t="e">
        <f t="shared" si="3"/>
        <v>#N/A</v>
      </c>
      <c r="S25" t="e">
        <f t="shared" si="3"/>
        <v>#N/A</v>
      </c>
      <c r="T25" t="e">
        <f t="shared" si="3"/>
        <v>#N/A</v>
      </c>
      <c r="U25" t="e">
        <f t="shared" si="3"/>
        <v>#N/A</v>
      </c>
      <c r="V25" t="e">
        <f t="shared" si="3"/>
        <v>#N/A</v>
      </c>
      <c r="W25" t="e">
        <f t="shared" si="3"/>
        <v>#N/A</v>
      </c>
      <c r="X25" t="e">
        <f t="shared" si="3"/>
        <v>#N/A</v>
      </c>
      <c r="Y25" t="e">
        <f t="shared" si="3"/>
        <v>#N/A</v>
      </c>
      <c r="Z25" t="e">
        <f t="shared" si="3"/>
        <v>#N/A</v>
      </c>
      <c r="AA25" t="e">
        <f t="shared" si="3"/>
        <v>#N/A</v>
      </c>
      <c r="AB25" t="e">
        <f t="shared" si="3"/>
        <v>#N/A</v>
      </c>
      <c r="AC25" t="e">
        <f t="shared" si="3"/>
        <v>#N/A</v>
      </c>
      <c r="AD25" t="e">
        <f t="shared" si="3"/>
        <v>#N/A</v>
      </c>
      <c r="AE25" t="e">
        <f t="shared" si="3"/>
        <v>#N/A</v>
      </c>
      <c r="AF25" t="e">
        <f t="shared" si="3"/>
        <v>#N/A</v>
      </c>
      <c r="AG25" t="e">
        <f t="shared" si="3"/>
        <v>#N/A</v>
      </c>
      <c r="AH25" t="e">
        <f t="shared" si="3"/>
        <v>#N/A</v>
      </c>
      <c r="AI25" t="e">
        <f t="shared" si="3"/>
        <v>#N/A</v>
      </c>
      <c r="AJ25" t="e">
        <f t="shared" si="3"/>
        <v>#N/A</v>
      </c>
      <c r="AK25" t="e">
        <f t="shared" si="3"/>
        <v>#N/A</v>
      </c>
      <c r="AL25" t="e">
        <f t="shared" si="3"/>
        <v>#N/A</v>
      </c>
      <c r="AM25" t="e">
        <f t="shared" si="3"/>
        <v>#N/A</v>
      </c>
      <c r="AN25" t="e">
        <f t="shared" si="3"/>
        <v>#N/A</v>
      </c>
      <c r="AO25" t="e">
        <f t="shared" si="3"/>
        <v>#N/A</v>
      </c>
      <c r="AP25" t="e">
        <f t="shared" si="3"/>
        <v>#N/A</v>
      </c>
      <c r="AQ25" t="e">
        <f t="shared" si="3"/>
        <v>#N/A</v>
      </c>
      <c r="AR25" t="e">
        <f t="shared" si="3"/>
        <v>#N/A</v>
      </c>
      <c r="AS25" t="e">
        <f t="shared" si="3"/>
        <v>#N/A</v>
      </c>
      <c r="AT25" t="e">
        <f t="shared" si="3"/>
        <v>#N/A</v>
      </c>
      <c r="AU25" t="e">
        <f t="shared" si="3"/>
        <v>#N/A</v>
      </c>
      <c r="AV25" t="e">
        <f t="shared" si="3"/>
        <v>#N/A</v>
      </c>
      <c r="AW25" t="e">
        <f t="shared" si="3"/>
        <v>#N/A</v>
      </c>
      <c r="AX25" t="e">
        <f t="shared" si="3"/>
        <v>#N/A</v>
      </c>
      <c r="AY25" t="e">
        <f t="shared" si="3"/>
        <v>#N/A</v>
      </c>
      <c r="AZ25" t="e">
        <f t="shared" si="3"/>
        <v>#N/A</v>
      </c>
    </row>
    <row r="26" spans="1:52">
      <c r="A26" t="s">
        <v>8</v>
      </c>
      <c r="B26" t="e">
        <f>IF($S$1=10,IF(
SUMIFS(Archive!$C:$C,Archive!$B:$B,$A26,Archive!$I:$I,B$24)&gt;0,
SUMIFS(Archive!$C:$C,Archive!$B:$B,$A26,Archive!$I:$I,B$24),NA()),IF(
SUMIFS(Archive!$C:$C,Archive!$B:$B,$A26,Archive!$I:$I,B$24,Archive!$J:$J,_xlfn.XLOOKUP($S$1,Lists!$B:$B,Lists!$A:$A))&gt;0,
SUMIFS(Archive!$C:$C,Archive!$B:$B,$A26,Archive!$I:$I,B$24,Archive!$J:$J,_xlfn.XLOOKUP($S$1,Lists!$B:$B,Lists!$A:$A)),NA()))</f>
        <v>#N/A</v>
      </c>
      <c r="C26" t="e">
        <f>IF($S$1=10,IF(
SUMIFS(Archive!$C:$C,Archive!$B:$B,$A26,Archive!$I:$I,C$24)&gt;0,
SUMIFS(Archive!$C:$C,Archive!$B:$B,$A26,Archive!$I:$I,C$24),NA()),IF(
SUMIFS(Archive!$C:$C,Archive!$B:$B,$A26,Archive!$I:$I,C$24,Archive!$J:$J,_xlfn.XLOOKUP($S$1,Lists!$B:$B,Lists!$A:$A))&gt;0,
SUMIFS(Archive!$C:$C,Archive!$B:$B,$A26,Archive!$I:$I,C$24,Archive!$J:$J,_xlfn.XLOOKUP($S$1,Lists!$B:$B,Lists!$A:$A)),NA()))</f>
        <v>#N/A</v>
      </c>
      <c r="D26" t="e">
        <f>IF($S$1=10,IF(
SUMIFS(Archive!$C:$C,Archive!$B:$B,$A26,Archive!$I:$I,D$24)&gt;0,
SUMIFS(Archive!$C:$C,Archive!$B:$B,$A26,Archive!$I:$I,D$24),NA()),IF(
SUMIFS(Archive!$C:$C,Archive!$B:$B,$A26,Archive!$I:$I,D$24,Archive!$J:$J,_xlfn.XLOOKUP($S$1,Lists!$B:$B,Lists!$A:$A))&gt;0,
SUMIFS(Archive!$C:$C,Archive!$B:$B,$A26,Archive!$I:$I,D$24,Archive!$J:$J,_xlfn.XLOOKUP($S$1,Lists!$B:$B,Lists!$A:$A)),NA()))</f>
        <v>#N/A</v>
      </c>
      <c r="E26" t="e">
        <f>IF($S$1=10,IF(
SUMIFS(Archive!$C:$C,Archive!$B:$B,$A26,Archive!$I:$I,E$24)&gt;0,
SUMIFS(Archive!$C:$C,Archive!$B:$B,$A26,Archive!$I:$I,E$24),NA()),IF(
SUMIFS(Archive!$C:$C,Archive!$B:$B,$A26,Archive!$I:$I,E$24,Archive!$J:$J,_xlfn.XLOOKUP($S$1,Lists!$B:$B,Lists!$A:$A))&gt;0,
SUMIFS(Archive!$C:$C,Archive!$B:$B,$A26,Archive!$I:$I,E$24,Archive!$J:$J,_xlfn.XLOOKUP($S$1,Lists!$B:$B,Lists!$A:$A)),NA()))</f>
        <v>#N/A</v>
      </c>
      <c r="F26" t="e">
        <f>IF($S$1=10,IF(
SUMIFS(Archive!$C:$C,Archive!$B:$B,$A26,Archive!$I:$I,F$24)&gt;0,
SUMIFS(Archive!$C:$C,Archive!$B:$B,$A26,Archive!$I:$I,F$24),NA()),IF(
SUMIFS(Archive!$C:$C,Archive!$B:$B,$A26,Archive!$I:$I,F$24,Archive!$J:$J,_xlfn.XLOOKUP($S$1,Lists!$B:$B,Lists!$A:$A))&gt;0,
SUMIFS(Archive!$C:$C,Archive!$B:$B,$A26,Archive!$I:$I,F$24,Archive!$J:$J,_xlfn.XLOOKUP($S$1,Lists!$B:$B,Lists!$A:$A)),NA()))</f>
        <v>#N/A</v>
      </c>
      <c r="G26" t="e">
        <f>IF($S$1=10,IF(
SUMIFS(Archive!$C:$C,Archive!$B:$B,$A26,Archive!$I:$I,G$24)&gt;0,
SUMIFS(Archive!$C:$C,Archive!$B:$B,$A26,Archive!$I:$I,G$24),NA()),IF(
SUMIFS(Archive!$C:$C,Archive!$B:$B,$A26,Archive!$I:$I,G$24,Archive!$J:$J,_xlfn.XLOOKUP($S$1,Lists!$B:$B,Lists!$A:$A))&gt;0,
SUMIFS(Archive!$C:$C,Archive!$B:$B,$A26,Archive!$I:$I,G$24,Archive!$J:$J,_xlfn.XLOOKUP($S$1,Lists!$B:$B,Lists!$A:$A)),NA()))</f>
        <v>#N/A</v>
      </c>
      <c r="H26" t="e">
        <f>IF($S$1=10,IF(
SUMIFS(Archive!$C:$C,Archive!$B:$B,$A26,Archive!$I:$I,H$24)&gt;0,
SUMIFS(Archive!$C:$C,Archive!$B:$B,$A26,Archive!$I:$I,H$24),NA()),IF(
SUMIFS(Archive!$C:$C,Archive!$B:$B,$A26,Archive!$I:$I,H$24,Archive!$J:$J,_xlfn.XLOOKUP($S$1,Lists!$B:$B,Lists!$A:$A))&gt;0,
SUMIFS(Archive!$C:$C,Archive!$B:$B,$A26,Archive!$I:$I,H$24,Archive!$J:$J,_xlfn.XLOOKUP($S$1,Lists!$B:$B,Lists!$A:$A)),NA()))</f>
        <v>#N/A</v>
      </c>
      <c r="I26" t="e">
        <f>IF($S$1=10,IF(
SUMIFS(Archive!$C:$C,Archive!$B:$B,$A26,Archive!$I:$I,I$24)&gt;0,
SUMIFS(Archive!$C:$C,Archive!$B:$B,$A26,Archive!$I:$I,I$24),NA()),IF(
SUMIFS(Archive!$C:$C,Archive!$B:$B,$A26,Archive!$I:$I,I$24,Archive!$J:$J,_xlfn.XLOOKUP($S$1,Lists!$B:$B,Lists!$A:$A))&gt;0,
SUMIFS(Archive!$C:$C,Archive!$B:$B,$A26,Archive!$I:$I,I$24,Archive!$J:$J,_xlfn.XLOOKUP($S$1,Lists!$B:$B,Lists!$A:$A)),NA()))</f>
        <v>#N/A</v>
      </c>
      <c r="J26" t="e">
        <f>IF($S$1=10,IF(
SUMIFS(Archive!$C:$C,Archive!$B:$B,$A26,Archive!$I:$I,J$24)&gt;0,
SUMIFS(Archive!$C:$C,Archive!$B:$B,$A26,Archive!$I:$I,J$24),NA()),IF(
SUMIFS(Archive!$C:$C,Archive!$B:$B,$A26,Archive!$I:$I,J$24,Archive!$J:$J,_xlfn.XLOOKUP($S$1,Lists!$B:$B,Lists!$A:$A))&gt;0,
SUMIFS(Archive!$C:$C,Archive!$B:$B,$A26,Archive!$I:$I,J$24,Archive!$J:$J,_xlfn.XLOOKUP($S$1,Lists!$B:$B,Lists!$A:$A)),NA()))</f>
        <v>#N/A</v>
      </c>
      <c r="K26" t="e">
        <f>IF($S$1=10,IF(
SUMIFS(Archive!$C:$C,Archive!$B:$B,$A26,Archive!$I:$I,K$24)&gt;0,
SUMIFS(Archive!$C:$C,Archive!$B:$B,$A26,Archive!$I:$I,K$24),NA()),IF(
SUMIFS(Archive!$C:$C,Archive!$B:$B,$A26,Archive!$I:$I,K$24,Archive!$J:$J,_xlfn.XLOOKUP($S$1,Lists!$B:$B,Lists!$A:$A))&gt;0,
SUMIFS(Archive!$C:$C,Archive!$B:$B,$A26,Archive!$I:$I,K$24,Archive!$J:$J,_xlfn.XLOOKUP($S$1,Lists!$B:$B,Lists!$A:$A)),NA()))</f>
        <v>#N/A</v>
      </c>
      <c r="L26" t="e">
        <f>IF($S$1=10,IF(
SUMIFS(Archive!$C:$C,Archive!$B:$B,$A26,Archive!$I:$I,L$24)&gt;0,
SUMIFS(Archive!$C:$C,Archive!$B:$B,$A26,Archive!$I:$I,L$24),NA()),IF(
SUMIFS(Archive!$C:$C,Archive!$B:$B,$A26,Archive!$I:$I,L$24,Archive!$J:$J,_xlfn.XLOOKUP($S$1,Lists!$B:$B,Lists!$A:$A))&gt;0,
SUMIFS(Archive!$C:$C,Archive!$B:$B,$A26,Archive!$I:$I,L$24,Archive!$J:$J,_xlfn.XLOOKUP($S$1,Lists!$B:$B,Lists!$A:$A)),NA()))</f>
        <v>#N/A</v>
      </c>
      <c r="M26" t="e">
        <f>IF($S$1=10,IF(
SUMIFS(Archive!$C:$C,Archive!$B:$B,$A26,Archive!$I:$I,M$24)&gt;0,
SUMIFS(Archive!$C:$C,Archive!$B:$B,$A26,Archive!$I:$I,M$24),NA()),IF(
SUMIFS(Archive!$C:$C,Archive!$B:$B,$A26,Archive!$I:$I,M$24,Archive!$J:$J,_xlfn.XLOOKUP($S$1,Lists!$B:$B,Lists!$A:$A))&gt;0,
SUMIFS(Archive!$C:$C,Archive!$B:$B,$A26,Archive!$I:$I,M$24,Archive!$J:$J,_xlfn.XLOOKUP($S$1,Lists!$B:$B,Lists!$A:$A)),NA()))</f>
        <v>#N/A</v>
      </c>
      <c r="N26" t="e">
        <f>IF($S$1=10,IF(
SUMIFS(Archive!$C:$C,Archive!$B:$B,$A26,Archive!$I:$I,N$24)&gt;0,
SUMIFS(Archive!$C:$C,Archive!$B:$B,$A26,Archive!$I:$I,N$24),NA()),IF(
SUMIFS(Archive!$C:$C,Archive!$B:$B,$A26,Archive!$I:$I,N$24,Archive!$J:$J,_xlfn.XLOOKUP($S$1,Lists!$B:$B,Lists!$A:$A))&gt;0,
SUMIFS(Archive!$C:$C,Archive!$B:$B,$A26,Archive!$I:$I,N$24,Archive!$J:$J,_xlfn.XLOOKUP($S$1,Lists!$B:$B,Lists!$A:$A)),NA()))</f>
        <v>#N/A</v>
      </c>
      <c r="O26" t="e">
        <f>IF($S$1=10,IF(
SUMIFS(Archive!$C:$C,Archive!$B:$B,$A26,Archive!$I:$I,O$24)&gt;0,
SUMIFS(Archive!$C:$C,Archive!$B:$B,$A26,Archive!$I:$I,O$24),NA()),IF(
SUMIFS(Archive!$C:$C,Archive!$B:$B,$A26,Archive!$I:$I,O$24,Archive!$J:$J,_xlfn.XLOOKUP($S$1,Lists!$B:$B,Lists!$A:$A))&gt;0,
SUMIFS(Archive!$C:$C,Archive!$B:$B,$A26,Archive!$I:$I,O$24,Archive!$J:$J,_xlfn.XLOOKUP($S$1,Lists!$B:$B,Lists!$A:$A)),NA()))</f>
        <v>#N/A</v>
      </c>
      <c r="P26" t="e">
        <f>IF($S$1=10,IF(
SUMIFS(Archive!$C:$C,Archive!$B:$B,$A26,Archive!$I:$I,P$24)&gt;0,
SUMIFS(Archive!$C:$C,Archive!$B:$B,$A26,Archive!$I:$I,P$24),NA()),IF(
SUMIFS(Archive!$C:$C,Archive!$B:$B,$A26,Archive!$I:$I,P$24,Archive!$J:$J,_xlfn.XLOOKUP($S$1,Lists!$B:$B,Lists!$A:$A))&gt;0,
SUMIFS(Archive!$C:$C,Archive!$B:$B,$A26,Archive!$I:$I,P$24,Archive!$J:$J,_xlfn.XLOOKUP($S$1,Lists!$B:$B,Lists!$A:$A)),NA()))</f>
        <v>#N/A</v>
      </c>
      <c r="Q26" t="e">
        <f>IF($S$1=10,IF(
SUMIFS(Archive!$C:$C,Archive!$B:$B,$A26,Archive!$I:$I,Q$24)&gt;0,
SUMIFS(Archive!$C:$C,Archive!$B:$B,$A26,Archive!$I:$I,Q$24),NA()),IF(
SUMIFS(Archive!$C:$C,Archive!$B:$B,$A26,Archive!$I:$I,Q$24,Archive!$J:$J,_xlfn.XLOOKUP($S$1,Lists!$B:$B,Lists!$A:$A))&gt;0,
SUMIFS(Archive!$C:$C,Archive!$B:$B,$A26,Archive!$I:$I,Q$24,Archive!$J:$J,_xlfn.XLOOKUP($S$1,Lists!$B:$B,Lists!$A:$A)),NA()))</f>
        <v>#N/A</v>
      </c>
      <c r="R26" t="e">
        <f>IF($S$1=10,IF(
SUMIFS(Archive!$C:$C,Archive!$B:$B,$A26,Archive!$I:$I,R$24)&gt;0,
SUMIFS(Archive!$C:$C,Archive!$B:$B,$A26,Archive!$I:$I,R$24),NA()),IF(
SUMIFS(Archive!$C:$C,Archive!$B:$B,$A26,Archive!$I:$I,R$24,Archive!$J:$J,_xlfn.XLOOKUP($S$1,Lists!$B:$B,Lists!$A:$A))&gt;0,
SUMIFS(Archive!$C:$C,Archive!$B:$B,$A26,Archive!$I:$I,R$24,Archive!$J:$J,_xlfn.XLOOKUP($S$1,Lists!$B:$B,Lists!$A:$A)),NA()))</f>
        <v>#N/A</v>
      </c>
      <c r="S26" t="e">
        <f>IF($S$1=10,IF(
SUMIFS(Archive!$C:$C,Archive!$B:$B,$A26,Archive!$I:$I,S$24)&gt;0,
SUMIFS(Archive!$C:$C,Archive!$B:$B,$A26,Archive!$I:$I,S$24),NA()),IF(
SUMIFS(Archive!$C:$C,Archive!$B:$B,$A26,Archive!$I:$I,S$24,Archive!$J:$J,_xlfn.XLOOKUP($S$1,Lists!$B:$B,Lists!$A:$A))&gt;0,
SUMIFS(Archive!$C:$C,Archive!$B:$B,$A26,Archive!$I:$I,S$24,Archive!$J:$J,_xlfn.XLOOKUP($S$1,Lists!$B:$B,Lists!$A:$A)),NA()))</f>
        <v>#N/A</v>
      </c>
      <c r="T26" t="e">
        <f>IF($S$1=10,IF(
SUMIFS(Archive!$C:$C,Archive!$B:$B,$A26,Archive!$I:$I,T$24)&gt;0,
SUMIFS(Archive!$C:$C,Archive!$B:$B,$A26,Archive!$I:$I,T$24),NA()),IF(
SUMIFS(Archive!$C:$C,Archive!$B:$B,$A26,Archive!$I:$I,T$24,Archive!$J:$J,_xlfn.XLOOKUP($S$1,Lists!$B:$B,Lists!$A:$A))&gt;0,
SUMIFS(Archive!$C:$C,Archive!$B:$B,$A26,Archive!$I:$I,T$24,Archive!$J:$J,_xlfn.XLOOKUP($S$1,Lists!$B:$B,Lists!$A:$A)),NA()))</f>
        <v>#N/A</v>
      </c>
      <c r="U26" t="e">
        <f>IF($S$1=10,IF(
SUMIFS(Archive!$C:$C,Archive!$B:$B,$A26,Archive!$I:$I,U$24)&gt;0,
SUMIFS(Archive!$C:$C,Archive!$B:$B,$A26,Archive!$I:$I,U$24),NA()),IF(
SUMIFS(Archive!$C:$C,Archive!$B:$B,$A26,Archive!$I:$I,U$24,Archive!$J:$J,_xlfn.XLOOKUP($S$1,Lists!$B:$B,Lists!$A:$A))&gt;0,
SUMIFS(Archive!$C:$C,Archive!$B:$B,$A26,Archive!$I:$I,U$24,Archive!$J:$J,_xlfn.XLOOKUP($S$1,Lists!$B:$B,Lists!$A:$A)),NA()))</f>
        <v>#N/A</v>
      </c>
      <c r="V26" t="e">
        <f>IF($S$1=10,IF(
SUMIFS(Archive!$C:$C,Archive!$B:$B,$A26,Archive!$I:$I,V$24)&gt;0,
SUMIFS(Archive!$C:$C,Archive!$B:$B,$A26,Archive!$I:$I,V$24),NA()),IF(
SUMIFS(Archive!$C:$C,Archive!$B:$B,$A26,Archive!$I:$I,V$24,Archive!$J:$J,_xlfn.XLOOKUP($S$1,Lists!$B:$B,Lists!$A:$A))&gt;0,
SUMIFS(Archive!$C:$C,Archive!$B:$B,$A26,Archive!$I:$I,V$24,Archive!$J:$J,_xlfn.XLOOKUP($S$1,Lists!$B:$B,Lists!$A:$A)),NA()))</f>
        <v>#N/A</v>
      </c>
      <c r="W26" t="e">
        <f>IF($S$1=10,IF(
SUMIFS(Archive!$C:$C,Archive!$B:$B,$A26,Archive!$I:$I,W$24)&gt;0,
SUMIFS(Archive!$C:$C,Archive!$B:$B,$A26,Archive!$I:$I,W$24),NA()),IF(
SUMIFS(Archive!$C:$C,Archive!$B:$B,$A26,Archive!$I:$I,W$24,Archive!$J:$J,_xlfn.XLOOKUP($S$1,Lists!$B:$B,Lists!$A:$A))&gt;0,
SUMIFS(Archive!$C:$C,Archive!$B:$B,$A26,Archive!$I:$I,W$24,Archive!$J:$J,_xlfn.XLOOKUP($S$1,Lists!$B:$B,Lists!$A:$A)),NA()))</f>
        <v>#N/A</v>
      </c>
      <c r="X26" t="e">
        <f>IF($S$1=10,IF(
SUMIFS(Archive!$C:$C,Archive!$B:$B,$A26,Archive!$I:$I,X$24)&gt;0,
SUMIFS(Archive!$C:$C,Archive!$B:$B,$A26,Archive!$I:$I,X$24),NA()),IF(
SUMIFS(Archive!$C:$C,Archive!$B:$B,$A26,Archive!$I:$I,X$24,Archive!$J:$J,_xlfn.XLOOKUP($S$1,Lists!$B:$B,Lists!$A:$A))&gt;0,
SUMIFS(Archive!$C:$C,Archive!$B:$B,$A26,Archive!$I:$I,X$24,Archive!$J:$J,_xlfn.XLOOKUP($S$1,Lists!$B:$B,Lists!$A:$A)),NA()))</f>
        <v>#N/A</v>
      </c>
      <c r="Y26" t="e">
        <f>IF($S$1=10,IF(
SUMIFS(Archive!$C:$C,Archive!$B:$B,$A26,Archive!$I:$I,Y$24)&gt;0,
SUMIFS(Archive!$C:$C,Archive!$B:$B,$A26,Archive!$I:$I,Y$24),NA()),IF(
SUMIFS(Archive!$C:$C,Archive!$B:$B,$A26,Archive!$I:$I,Y$24,Archive!$J:$J,_xlfn.XLOOKUP($S$1,Lists!$B:$B,Lists!$A:$A))&gt;0,
SUMIFS(Archive!$C:$C,Archive!$B:$B,$A26,Archive!$I:$I,Y$24,Archive!$J:$J,_xlfn.XLOOKUP($S$1,Lists!$B:$B,Lists!$A:$A)),NA()))</f>
        <v>#N/A</v>
      </c>
      <c r="Z26" t="e">
        <f>IF($S$1=10,IF(
SUMIFS(Archive!$C:$C,Archive!$B:$B,$A26,Archive!$I:$I,Z$24)&gt;0,
SUMIFS(Archive!$C:$C,Archive!$B:$B,$A26,Archive!$I:$I,Z$24),NA()),IF(
SUMIFS(Archive!$C:$C,Archive!$B:$B,$A26,Archive!$I:$I,Z$24,Archive!$J:$J,_xlfn.XLOOKUP($S$1,Lists!$B:$B,Lists!$A:$A))&gt;0,
SUMIFS(Archive!$C:$C,Archive!$B:$B,$A26,Archive!$I:$I,Z$24,Archive!$J:$J,_xlfn.XLOOKUP($S$1,Lists!$B:$B,Lists!$A:$A)),NA()))</f>
        <v>#N/A</v>
      </c>
      <c r="AA26" t="e">
        <f>IF($S$1=10,IF(
SUMIFS(Archive!$C:$C,Archive!$B:$B,$A26,Archive!$I:$I,AA$24)&gt;0,
SUMIFS(Archive!$C:$C,Archive!$B:$B,$A26,Archive!$I:$I,AA$24),NA()),IF(
SUMIFS(Archive!$C:$C,Archive!$B:$B,$A26,Archive!$I:$I,AA$24,Archive!$J:$J,_xlfn.XLOOKUP($S$1,Lists!$B:$B,Lists!$A:$A))&gt;0,
SUMIFS(Archive!$C:$C,Archive!$B:$B,$A26,Archive!$I:$I,AA$24,Archive!$J:$J,_xlfn.XLOOKUP($S$1,Lists!$B:$B,Lists!$A:$A)),NA()))</f>
        <v>#N/A</v>
      </c>
      <c r="AB26" t="e">
        <f>IF($S$1=10,IF(
SUMIFS(Archive!$C:$C,Archive!$B:$B,$A26,Archive!$I:$I,AB$24)&gt;0,
SUMIFS(Archive!$C:$C,Archive!$B:$B,$A26,Archive!$I:$I,AB$24),NA()),IF(
SUMIFS(Archive!$C:$C,Archive!$B:$B,$A26,Archive!$I:$I,AB$24,Archive!$J:$J,_xlfn.XLOOKUP($S$1,Lists!$B:$B,Lists!$A:$A))&gt;0,
SUMIFS(Archive!$C:$C,Archive!$B:$B,$A26,Archive!$I:$I,AB$24,Archive!$J:$J,_xlfn.XLOOKUP($S$1,Lists!$B:$B,Lists!$A:$A)),NA()))</f>
        <v>#N/A</v>
      </c>
      <c r="AC26" t="e">
        <f>IF($S$1=10,IF(
SUMIFS(Archive!$C:$C,Archive!$B:$B,$A26,Archive!$I:$I,AC$24)&gt;0,
SUMIFS(Archive!$C:$C,Archive!$B:$B,$A26,Archive!$I:$I,AC$24),NA()),IF(
SUMIFS(Archive!$C:$C,Archive!$B:$B,$A26,Archive!$I:$I,AC$24,Archive!$J:$J,_xlfn.XLOOKUP($S$1,Lists!$B:$B,Lists!$A:$A))&gt;0,
SUMIFS(Archive!$C:$C,Archive!$B:$B,$A26,Archive!$I:$I,AC$24,Archive!$J:$J,_xlfn.XLOOKUP($S$1,Lists!$B:$B,Lists!$A:$A)),NA()))</f>
        <v>#N/A</v>
      </c>
      <c r="AD26" t="e">
        <f>IF($S$1=10,IF(
SUMIFS(Archive!$C:$C,Archive!$B:$B,$A26,Archive!$I:$I,AD$24)&gt;0,
SUMIFS(Archive!$C:$C,Archive!$B:$B,$A26,Archive!$I:$I,AD$24),NA()),IF(
SUMIFS(Archive!$C:$C,Archive!$B:$B,$A26,Archive!$I:$I,AD$24,Archive!$J:$J,_xlfn.XLOOKUP($S$1,Lists!$B:$B,Lists!$A:$A))&gt;0,
SUMIFS(Archive!$C:$C,Archive!$B:$B,$A26,Archive!$I:$I,AD$24,Archive!$J:$J,_xlfn.XLOOKUP($S$1,Lists!$B:$B,Lists!$A:$A)),NA()))</f>
        <v>#N/A</v>
      </c>
      <c r="AE26" t="e">
        <f>IF($S$1=10,IF(
SUMIFS(Archive!$C:$C,Archive!$B:$B,$A26,Archive!$I:$I,AE$24)&gt;0,
SUMIFS(Archive!$C:$C,Archive!$B:$B,$A26,Archive!$I:$I,AE$24),NA()),IF(
SUMIFS(Archive!$C:$C,Archive!$B:$B,$A26,Archive!$I:$I,AE$24,Archive!$J:$J,_xlfn.XLOOKUP($S$1,Lists!$B:$B,Lists!$A:$A))&gt;0,
SUMIFS(Archive!$C:$C,Archive!$B:$B,$A26,Archive!$I:$I,AE$24,Archive!$J:$J,_xlfn.XLOOKUP($S$1,Lists!$B:$B,Lists!$A:$A)),NA()))</f>
        <v>#N/A</v>
      </c>
      <c r="AF26" t="e">
        <f>IF($S$1=10,IF(
SUMIFS(Archive!$C:$C,Archive!$B:$B,$A26,Archive!$I:$I,AF$24)&gt;0,
SUMIFS(Archive!$C:$C,Archive!$B:$B,$A26,Archive!$I:$I,AF$24),NA()),IF(
SUMIFS(Archive!$C:$C,Archive!$B:$B,$A26,Archive!$I:$I,AF$24,Archive!$J:$J,_xlfn.XLOOKUP($S$1,Lists!$B:$B,Lists!$A:$A))&gt;0,
SUMIFS(Archive!$C:$C,Archive!$B:$B,$A26,Archive!$I:$I,AF$24,Archive!$J:$J,_xlfn.XLOOKUP($S$1,Lists!$B:$B,Lists!$A:$A)),NA()))</f>
        <v>#N/A</v>
      </c>
      <c r="AG26" t="e">
        <f>IF($S$1=10,IF(
SUMIFS(Archive!$C:$C,Archive!$B:$B,$A26,Archive!$I:$I,AG$24)&gt;0,
SUMIFS(Archive!$C:$C,Archive!$B:$B,$A26,Archive!$I:$I,AG$24),NA()),IF(
SUMIFS(Archive!$C:$C,Archive!$B:$B,$A26,Archive!$I:$I,AG$24,Archive!$J:$J,_xlfn.XLOOKUP($S$1,Lists!$B:$B,Lists!$A:$A))&gt;0,
SUMIFS(Archive!$C:$C,Archive!$B:$B,$A26,Archive!$I:$I,AG$24,Archive!$J:$J,_xlfn.XLOOKUP($S$1,Lists!$B:$B,Lists!$A:$A)),NA()))</f>
        <v>#N/A</v>
      </c>
      <c r="AH26" t="e">
        <f>IF($S$1=10,IF(
SUMIFS(Archive!$C:$C,Archive!$B:$B,$A26,Archive!$I:$I,AH$24)&gt;0,
SUMIFS(Archive!$C:$C,Archive!$B:$B,$A26,Archive!$I:$I,AH$24),NA()),IF(
SUMIFS(Archive!$C:$C,Archive!$B:$B,$A26,Archive!$I:$I,AH$24,Archive!$J:$J,_xlfn.XLOOKUP($S$1,Lists!$B:$B,Lists!$A:$A))&gt;0,
SUMIFS(Archive!$C:$C,Archive!$B:$B,$A26,Archive!$I:$I,AH$24,Archive!$J:$J,_xlfn.XLOOKUP($S$1,Lists!$B:$B,Lists!$A:$A)),NA()))</f>
        <v>#N/A</v>
      </c>
      <c r="AI26" t="e">
        <f>IF($S$1=10,IF(
SUMIFS(Archive!$C:$C,Archive!$B:$B,$A26,Archive!$I:$I,AI$24)&gt;0,
SUMIFS(Archive!$C:$C,Archive!$B:$B,$A26,Archive!$I:$I,AI$24),NA()),IF(
SUMIFS(Archive!$C:$C,Archive!$B:$B,$A26,Archive!$I:$I,AI$24,Archive!$J:$J,_xlfn.XLOOKUP($S$1,Lists!$B:$B,Lists!$A:$A))&gt;0,
SUMIFS(Archive!$C:$C,Archive!$B:$B,$A26,Archive!$I:$I,AI$24,Archive!$J:$J,_xlfn.XLOOKUP($S$1,Lists!$B:$B,Lists!$A:$A)),NA()))</f>
        <v>#N/A</v>
      </c>
      <c r="AJ26" t="e">
        <f>IF($S$1=10,IF(
SUMIFS(Archive!$C:$C,Archive!$B:$B,$A26,Archive!$I:$I,AJ$24)&gt;0,
SUMIFS(Archive!$C:$C,Archive!$B:$B,$A26,Archive!$I:$I,AJ$24),NA()),IF(
SUMIFS(Archive!$C:$C,Archive!$B:$B,$A26,Archive!$I:$I,AJ$24,Archive!$J:$J,_xlfn.XLOOKUP($S$1,Lists!$B:$B,Lists!$A:$A))&gt;0,
SUMIFS(Archive!$C:$C,Archive!$B:$B,$A26,Archive!$I:$I,AJ$24,Archive!$J:$J,_xlfn.XLOOKUP($S$1,Lists!$B:$B,Lists!$A:$A)),NA()))</f>
        <v>#N/A</v>
      </c>
      <c r="AK26" t="e">
        <f>IF($S$1=10,IF(
SUMIFS(Archive!$C:$C,Archive!$B:$B,$A26,Archive!$I:$I,AK$24)&gt;0,
SUMIFS(Archive!$C:$C,Archive!$B:$B,$A26,Archive!$I:$I,AK$24),NA()),IF(
SUMIFS(Archive!$C:$C,Archive!$B:$B,$A26,Archive!$I:$I,AK$24,Archive!$J:$J,_xlfn.XLOOKUP($S$1,Lists!$B:$B,Lists!$A:$A))&gt;0,
SUMIFS(Archive!$C:$C,Archive!$B:$B,$A26,Archive!$I:$I,AK$24,Archive!$J:$J,_xlfn.XLOOKUP($S$1,Lists!$B:$B,Lists!$A:$A)),NA()))</f>
        <v>#N/A</v>
      </c>
      <c r="AL26" t="e">
        <f>IF($S$1=10,IF(
SUMIFS(Archive!$C:$C,Archive!$B:$B,$A26,Archive!$I:$I,AL$24)&gt;0,
SUMIFS(Archive!$C:$C,Archive!$B:$B,$A26,Archive!$I:$I,AL$24),NA()),IF(
SUMIFS(Archive!$C:$C,Archive!$B:$B,$A26,Archive!$I:$I,AL$24,Archive!$J:$J,_xlfn.XLOOKUP($S$1,Lists!$B:$B,Lists!$A:$A))&gt;0,
SUMIFS(Archive!$C:$C,Archive!$B:$B,$A26,Archive!$I:$I,AL$24,Archive!$J:$J,_xlfn.XLOOKUP($S$1,Lists!$B:$B,Lists!$A:$A)),NA()))</f>
        <v>#N/A</v>
      </c>
      <c r="AM26" t="e">
        <f>IF($S$1=10,IF(
SUMIFS(Archive!$C:$C,Archive!$B:$B,$A26,Archive!$I:$I,AM$24)&gt;0,
SUMIFS(Archive!$C:$C,Archive!$B:$B,$A26,Archive!$I:$I,AM$24),NA()),IF(
SUMIFS(Archive!$C:$C,Archive!$B:$B,$A26,Archive!$I:$I,AM$24,Archive!$J:$J,_xlfn.XLOOKUP($S$1,Lists!$B:$B,Lists!$A:$A))&gt;0,
SUMIFS(Archive!$C:$C,Archive!$B:$B,$A26,Archive!$I:$I,AM$24,Archive!$J:$J,_xlfn.XLOOKUP($S$1,Lists!$B:$B,Lists!$A:$A)),NA()))</f>
        <v>#N/A</v>
      </c>
      <c r="AN26" t="e">
        <f>IF($S$1=10,IF(
SUMIFS(Archive!$C:$C,Archive!$B:$B,$A26,Archive!$I:$I,AN$24)&gt;0,
SUMIFS(Archive!$C:$C,Archive!$B:$B,$A26,Archive!$I:$I,AN$24),NA()),IF(
SUMIFS(Archive!$C:$C,Archive!$B:$B,$A26,Archive!$I:$I,AN$24,Archive!$J:$J,_xlfn.XLOOKUP($S$1,Lists!$B:$B,Lists!$A:$A))&gt;0,
SUMIFS(Archive!$C:$C,Archive!$B:$B,$A26,Archive!$I:$I,AN$24,Archive!$J:$J,_xlfn.XLOOKUP($S$1,Lists!$B:$B,Lists!$A:$A)),NA()))</f>
        <v>#N/A</v>
      </c>
      <c r="AO26" t="e">
        <f>IF($S$1=10,IF(
SUMIFS(Archive!$C:$C,Archive!$B:$B,$A26,Archive!$I:$I,AO$24)&gt;0,
SUMIFS(Archive!$C:$C,Archive!$B:$B,$A26,Archive!$I:$I,AO$24),NA()),IF(
SUMIFS(Archive!$C:$C,Archive!$B:$B,$A26,Archive!$I:$I,AO$24,Archive!$J:$J,_xlfn.XLOOKUP($S$1,Lists!$B:$B,Lists!$A:$A))&gt;0,
SUMIFS(Archive!$C:$C,Archive!$B:$B,$A26,Archive!$I:$I,AO$24,Archive!$J:$J,_xlfn.XLOOKUP($S$1,Lists!$B:$B,Lists!$A:$A)),NA()))</f>
        <v>#N/A</v>
      </c>
      <c r="AP26" t="e">
        <f>IF($S$1=10,IF(
SUMIFS(Archive!$C:$C,Archive!$B:$B,$A26,Archive!$I:$I,AP$24)&gt;0,
SUMIFS(Archive!$C:$C,Archive!$B:$B,$A26,Archive!$I:$I,AP$24),NA()),IF(
SUMIFS(Archive!$C:$C,Archive!$B:$B,$A26,Archive!$I:$I,AP$24,Archive!$J:$J,_xlfn.XLOOKUP($S$1,Lists!$B:$B,Lists!$A:$A))&gt;0,
SUMIFS(Archive!$C:$C,Archive!$B:$B,$A26,Archive!$I:$I,AP$24,Archive!$J:$J,_xlfn.XLOOKUP($S$1,Lists!$B:$B,Lists!$A:$A)),NA()))</f>
        <v>#N/A</v>
      </c>
      <c r="AQ26" t="e">
        <f>IF($S$1=10,IF(
SUMIFS(Archive!$C:$C,Archive!$B:$B,$A26,Archive!$I:$I,AQ$24)&gt;0,
SUMIFS(Archive!$C:$C,Archive!$B:$B,$A26,Archive!$I:$I,AQ$24),NA()),IF(
SUMIFS(Archive!$C:$C,Archive!$B:$B,$A26,Archive!$I:$I,AQ$24,Archive!$J:$J,_xlfn.XLOOKUP($S$1,Lists!$B:$B,Lists!$A:$A))&gt;0,
SUMIFS(Archive!$C:$C,Archive!$B:$B,$A26,Archive!$I:$I,AQ$24,Archive!$J:$J,_xlfn.XLOOKUP($S$1,Lists!$B:$B,Lists!$A:$A)),NA()))</f>
        <v>#N/A</v>
      </c>
      <c r="AR26" t="e">
        <f>IF($S$1=10,IF(
SUMIFS(Archive!$C:$C,Archive!$B:$B,$A26,Archive!$I:$I,AR$24)&gt;0,
SUMIFS(Archive!$C:$C,Archive!$B:$B,$A26,Archive!$I:$I,AR$24),NA()),IF(
SUMIFS(Archive!$C:$C,Archive!$B:$B,$A26,Archive!$I:$I,AR$24,Archive!$J:$J,_xlfn.XLOOKUP($S$1,Lists!$B:$B,Lists!$A:$A))&gt;0,
SUMIFS(Archive!$C:$C,Archive!$B:$B,$A26,Archive!$I:$I,AR$24,Archive!$J:$J,_xlfn.XLOOKUP($S$1,Lists!$B:$B,Lists!$A:$A)),NA()))</f>
        <v>#N/A</v>
      </c>
      <c r="AS26" t="e">
        <f>IF($S$1=10,IF(
SUMIFS(Archive!$C:$C,Archive!$B:$B,$A26,Archive!$I:$I,AS$24)&gt;0,
SUMIFS(Archive!$C:$C,Archive!$B:$B,$A26,Archive!$I:$I,AS$24),NA()),IF(
SUMIFS(Archive!$C:$C,Archive!$B:$B,$A26,Archive!$I:$I,AS$24,Archive!$J:$J,_xlfn.XLOOKUP($S$1,Lists!$B:$B,Lists!$A:$A))&gt;0,
SUMIFS(Archive!$C:$C,Archive!$B:$B,$A26,Archive!$I:$I,AS$24,Archive!$J:$J,_xlfn.XLOOKUP($S$1,Lists!$B:$B,Lists!$A:$A)),NA()))</f>
        <v>#N/A</v>
      </c>
      <c r="AT26" t="e">
        <f>IF($S$1=10,IF(
SUMIFS(Archive!$C:$C,Archive!$B:$B,$A26,Archive!$I:$I,AT$24)&gt;0,
SUMIFS(Archive!$C:$C,Archive!$B:$B,$A26,Archive!$I:$I,AT$24),NA()),IF(
SUMIFS(Archive!$C:$C,Archive!$B:$B,$A26,Archive!$I:$I,AT$24,Archive!$J:$J,_xlfn.XLOOKUP($S$1,Lists!$B:$B,Lists!$A:$A))&gt;0,
SUMIFS(Archive!$C:$C,Archive!$B:$B,$A26,Archive!$I:$I,AT$24,Archive!$J:$J,_xlfn.XLOOKUP($S$1,Lists!$B:$B,Lists!$A:$A)),NA()))</f>
        <v>#N/A</v>
      </c>
      <c r="AU26" t="e">
        <f>IF($S$1=10,IF(
SUMIFS(Archive!$C:$C,Archive!$B:$B,$A26,Archive!$I:$I,AU$24)&gt;0,
SUMIFS(Archive!$C:$C,Archive!$B:$B,$A26,Archive!$I:$I,AU$24),NA()),IF(
SUMIFS(Archive!$C:$C,Archive!$B:$B,$A26,Archive!$I:$I,AU$24,Archive!$J:$J,_xlfn.XLOOKUP($S$1,Lists!$B:$B,Lists!$A:$A))&gt;0,
SUMIFS(Archive!$C:$C,Archive!$B:$B,$A26,Archive!$I:$I,AU$24,Archive!$J:$J,_xlfn.XLOOKUP($S$1,Lists!$B:$B,Lists!$A:$A)),NA()))</f>
        <v>#N/A</v>
      </c>
      <c r="AV26" t="e">
        <f>IF($S$1=10,IF(
SUMIFS(Archive!$C:$C,Archive!$B:$B,$A26,Archive!$I:$I,AV$24)&gt;0,
SUMIFS(Archive!$C:$C,Archive!$B:$B,$A26,Archive!$I:$I,AV$24),NA()),IF(
SUMIFS(Archive!$C:$C,Archive!$B:$B,$A26,Archive!$I:$I,AV$24,Archive!$J:$J,_xlfn.XLOOKUP($S$1,Lists!$B:$B,Lists!$A:$A))&gt;0,
SUMIFS(Archive!$C:$C,Archive!$B:$B,$A26,Archive!$I:$I,AV$24,Archive!$J:$J,_xlfn.XLOOKUP($S$1,Lists!$B:$B,Lists!$A:$A)),NA()))</f>
        <v>#N/A</v>
      </c>
      <c r="AW26" t="e">
        <f>IF($S$1=10,IF(
SUMIFS(Archive!$C:$C,Archive!$B:$B,$A26,Archive!$I:$I,AW$24)&gt;0,
SUMIFS(Archive!$C:$C,Archive!$B:$B,$A26,Archive!$I:$I,AW$24),NA()),IF(
SUMIFS(Archive!$C:$C,Archive!$B:$B,$A26,Archive!$I:$I,AW$24,Archive!$J:$J,_xlfn.XLOOKUP($S$1,Lists!$B:$B,Lists!$A:$A))&gt;0,
SUMIFS(Archive!$C:$C,Archive!$B:$B,$A26,Archive!$I:$I,AW$24,Archive!$J:$J,_xlfn.XLOOKUP($S$1,Lists!$B:$B,Lists!$A:$A)),NA()))</f>
        <v>#N/A</v>
      </c>
      <c r="AX26" t="e">
        <f>IF($S$1=10,IF(
SUMIFS(Archive!$C:$C,Archive!$B:$B,$A26,Archive!$I:$I,AX$24)&gt;0,
SUMIFS(Archive!$C:$C,Archive!$B:$B,$A26,Archive!$I:$I,AX$24),NA()),IF(
SUMIFS(Archive!$C:$C,Archive!$B:$B,$A26,Archive!$I:$I,AX$24,Archive!$J:$J,_xlfn.XLOOKUP($S$1,Lists!$B:$B,Lists!$A:$A))&gt;0,
SUMIFS(Archive!$C:$C,Archive!$B:$B,$A26,Archive!$I:$I,AX$24,Archive!$J:$J,_xlfn.XLOOKUP($S$1,Lists!$B:$B,Lists!$A:$A)),NA()))</f>
        <v>#N/A</v>
      </c>
      <c r="AY26" t="e">
        <f>IF($S$1=10,IF(
SUMIFS(Archive!$C:$C,Archive!$B:$B,$A26,Archive!$I:$I,AY$24)&gt;0,
SUMIFS(Archive!$C:$C,Archive!$B:$B,$A26,Archive!$I:$I,AY$24),NA()),IF(
SUMIFS(Archive!$C:$C,Archive!$B:$B,$A26,Archive!$I:$I,AY$24,Archive!$J:$J,_xlfn.XLOOKUP($S$1,Lists!$B:$B,Lists!$A:$A))&gt;0,
SUMIFS(Archive!$C:$C,Archive!$B:$B,$A26,Archive!$I:$I,AY$24,Archive!$J:$J,_xlfn.XLOOKUP($S$1,Lists!$B:$B,Lists!$A:$A)),NA()))</f>
        <v>#N/A</v>
      </c>
      <c r="AZ26" t="e">
        <f>IF($S$1=10,IF(
SUMIFS(Archive!$C:$C,Archive!$B:$B,$A26,Archive!$I:$I,AZ$24)&gt;0,
SUMIFS(Archive!$C:$C,Archive!$B:$B,$A26,Archive!$I:$I,AZ$24),NA()),IF(
SUMIFS(Archive!$C:$C,Archive!$B:$B,$A26,Archive!$I:$I,AZ$24,Archive!$J:$J,_xlfn.XLOOKUP($S$1,Lists!$B:$B,Lists!$A:$A))&gt;0,
SUMIFS(Archive!$C:$C,Archive!$B:$B,$A26,Archive!$I:$I,AZ$24,Archive!$J:$J,_xlfn.XLOOKUP($S$1,Lists!$B:$B,Lists!$A:$A)),NA()))</f>
        <v>#N/A</v>
      </c>
    </row>
    <row r="27" spans="1:52">
      <c r="A27" t="s">
        <v>9</v>
      </c>
      <c r="B27" t="e">
        <f>IF($S$1=10,IF(
SUMIFS(Archive!$C:$C,Archive!$B:$B,$A27,Archive!$I:$I,B$24)&gt;0,
SUMIFS(Archive!$C:$C,Archive!$B:$B,$A27,Archive!$I:$I,B$24),NA()),IF(
SUMIFS(Archive!$C:$C,Archive!$B:$B,$A27,Archive!$I:$I,B$24,Archive!$J:$J,_xlfn.XLOOKUP($S$1,Lists!$B:$B,Lists!$A:$A))&gt;0,
SUMIFS(Archive!$C:$C,Archive!$B:$B,$A27,Archive!$I:$I,B$24,Archive!$J:$J,_xlfn.XLOOKUP($S$1,Lists!$B:$B,Lists!$A:$A)),NA()))</f>
        <v>#N/A</v>
      </c>
      <c r="C27" t="e">
        <f>IF($S$1=10,IF(
SUMIFS(Archive!$C:$C,Archive!$B:$B,$A27,Archive!$I:$I,C$24)&gt;0,
SUMIFS(Archive!$C:$C,Archive!$B:$B,$A27,Archive!$I:$I,C$24),NA()),IF(
SUMIFS(Archive!$C:$C,Archive!$B:$B,$A27,Archive!$I:$I,C$24,Archive!$J:$J,_xlfn.XLOOKUP($S$1,Lists!$B:$B,Lists!$A:$A))&gt;0,
SUMIFS(Archive!$C:$C,Archive!$B:$B,$A27,Archive!$I:$I,C$24,Archive!$J:$J,_xlfn.XLOOKUP($S$1,Lists!$B:$B,Lists!$A:$A)),NA()))</f>
        <v>#N/A</v>
      </c>
      <c r="D27" t="e">
        <f>IF($S$1=10,IF(
SUMIFS(Archive!$C:$C,Archive!$B:$B,$A27,Archive!$I:$I,D$24)&gt;0,
SUMIFS(Archive!$C:$C,Archive!$B:$B,$A27,Archive!$I:$I,D$24),NA()),IF(
SUMIFS(Archive!$C:$C,Archive!$B:$B,$A27,Archive!$I:$I,D$24,Archive!$J:$J,_xlfn.XLOOKUP($S$1,Lists!$B:$B,Lists!$A:$A))&gt;0,
SUMIFS(Archive!$C:$C,Archive!$B:$B,$A27,Archive!$I:$I,D$24,Archive!$J:$J,_xlfn.XLOOKUP($S$1,Lists!$B:$B,Lists!$A:$A)),NA()))</f>
        <v>#N/A</v>
      </c>
      <c r="E27" t="e">
        <f>IF($S$1=10,IF(
SUMIFS(Archive!$C:$C,Archive!$B:$B,$A27,Archive!$I:$I,E$24)&gt;0,
SUMIFS(Archive!$C:$C,Archive!$B:$B,$A27,Archive!$I:$I,E$24),NA()),IF(
SUMIFS(Archive!$C:$C,Archive!$B:$B,$A27,Archive!$I:$I,E$24,Archive!$J:$J,_xlfn.XLOOKUP($S$1,Lists!$B:$B,Lists!$A:$A))&gt;0,
SUMIFS(Archive!$C:$C,Archive!$B:$B,$A27,Archive!$I:$I,E$24,Archive!$J:$J,_xlfn.XLOOKUP($S$1,Lists!$B:$B,Lists!$A:$A)),NA()))</f>
        <v>#N/A</v>
      </c>
      <c r="F27" t="e">
        <f>IF($S$1=10,IF(
SUMIFS(Archive!$C:$C,Archive!$B:$B,$A27,Archive!$I:$I,F$24)&gt;0,
SUMIFS(Archive!$C:$C,Archive!$B:$B,$A27,Archive!$I:$I,F$24),NA()),IF(
SUMIFS(Archive!$C:$C,Archive!$B:$B,$A27,Archive!$I:$I,F$24,Archive!$J:$J,_xlfn.XLOOKUP($S$1,Lists!$B:$B,Lists!$A:$A))&gt;0,
SUMIFS(Archive!$C:$C,Archive!$B:$B,$A27,Archive!$I:$I,F$24,Archive!$J:$J,_xlfn.XLOOKUP($S$1,Lists!$B:$B,Lists!$A:$A)),NA()))</f>
        <v>#N/A</v>
      </c>
      <c r="G27" t="e">
        <f>IF($S$1=10,IF(
SUMIFS(Archive!$C:$C,Archive!$B:$B,$A27,Archive!$I:$I,G$24)&gt;0,
SUMIFS(Archive!$C:$C,Archive!$B:$B,$A27,Archive!$I:$I,G$24),NA()),IF(
SUMIFS(Archive!$C:$C,Archive!$B:$B,$A27,Archive!$I:$I,G$24,Archive!$J:$J,_xlfn.XLOOKUP($S$1,Lists!$B:$B,Lists!$A:$A))&gt;0,
SUMIFS(Archive!$C:$C,Archive!$B:$B,$A27,Archive!$I:$I,G$24,Archive!$J:$J,_xlfn.XLOOKUP($S$1,Lists!$B:$B,Lists!$A:$A)),NA()))</f>
        <v>#N/A</v>
      </c>
      <c r="H27" t="e">
        <f>IF($S$1=10,IF(
SUMIFS(Archive!$C:$C,Archive!$B:$B,$A27,Archive!$I:$I,H$24)&gt;0,
SUMIFS(Archive!$C:$C,Archive!$B:$B,$A27,Archive!$I:$I,H$24),NA()),IF(
SUMIFS(Archive!$C:$C,Archive!$B:$B,$A27,Archive!$I:$I,H$24,Archive!$J:$J,_xlfn.XLOOKUP($S$1,Lists!$B:$B,Lists!$A:$A))&gt;0,
SUMIFS(Archive!$C:$C,Archive!$B:$B,$A27,Archive!$I:$I,H$24,Archive!$J:$J,_xlfn.XLOOKUP($S$1,Lists!$B:$B,Lists!$A:$A)),NA()))</f>
        <v>#N/A</v>
      </c>
      <c r="I27" t="e">
        <f>IF($S$1=10,IF(
SUMIFS(Archive!$C:$C,Archive!$B:$B,$A27,Archive!$I:$I,I$24)&gt;0,
SUMIFS(Archive!$C:$C,Archive!$B:$B,$A27,Archive!$I:$I,I$24),NA()),IF(
SUMIFS(Archive!$C:$C,Archive!$B:$B,$A27,Archive!$I:$I,I$24,Archive!$J:$J,_xlfn.XLOOKUP($S$1,Lists!$B:$B,Lists!$A:$A))&gt;0,
SUMIFS(Archive!$C:$C,Archive!$B:$B,$A27,Archive!$I:$I,I$24,Archive!$J:$J,_xlfn.XLOOKUP($S$1,Lists!$B:$B,Lists!$A:$A)),NA()))</f>
        <v>#N/A</v>
      </c>
      <c r="J27" t="e">
        <f>IF($S$1=10,IF(
SUMIFS(Archive!$C:$C,Archive!$B:$B,$A27,Archive!$I:$I,J$24)&gt;0,
SUMIFS(Archive!$C:$C,Archive!$B:$B,$A27,Archive!$I:$I,J$24),NA()),IF(
SUMIFS(Archive!$C:$C,Archive!$B:$B,$A27,Archive!$I:$I,J$24,Archive!$J:$J,_xlfn.XLOOKUP($S$1,Lists!$B:$B,Lists!$A:$A))&gt;0,
SUMIFS(Archive!$C:$C,Archive!$B:$B,$A27,Archive!$I:$I,J$24,Archive!$J:$J,_xlfn.XLOOKUP($S$1,Lists!$B:$B,Lists!$A:$A)),NA()))</f>
        <v>#N/A</v>
      </c>
      <c r="K27" t="e">
        <f>IF($S$1=10,IF(
SUMIFS(Archive!$C:$C,Archive!$B:$B,$A27,Archive!$I:$I,K$24)&gt;0,
SUMIFS(Archive!$C:$C,Archive!$B:$B,$A27,Archive!$I:$I,K$24),NA()),IF(
SUMIFS(Archive!$C:$C,Archive!$B:$B,$A27,Archive!$I:$I,K$24,Archive!$J:$J,_xlfn.XLOOKUP($S$1,Lists!$B:$B,Lists!$A:$A))&gt;0,
SUMIFS(Archive!$C:$C,Archive!$B:$B,$A27,Archive!$I:$I,K$24,Archive!$J:$J,_xlfn.XLOOKUP($S$1,Lists!$B:$B,Lists!$A:$A)),NA()))</f>
        <v>#N/A</v>
      </c>
      <c r="L27" t="e">
        <f>IF($S$1=10,IF(
SUMIFS(Archive!$C:$C,Archive!$B:$B,$A27,Archive!$I:$I,L$24)&gt;0,
SUMIFS(Archive!$C:$C,Archive!$B:$B,$A27,Archive!$I:$I,L$24),NA()),IF(
SUMIFS(Archive!$C:$C,Archive!$B:$B,$A27,Archive!$I:$I,L$24,Archive!$J:$J,_xlfn.XLOOKUP($S$1,Lists!$B:$B,Lists!$A:$A))&gt;0,
SUMIFS(Archive!$C:$C,Archive!$B:$B,$A27,Archive!$I:$I,L$24,Archive!$J:$J,_xlfn.XLOOKUP($S$1,Lists!$B:$B,Lists!$A:$A)),NA()))</f>
        <v>#N/A</v>
      </c>
      <c r="M27" t="e">
        <f>IF($S$1=10,IF(
SUMIFS(Archive!$C:$C,Archive!$B:$B,$A27,Archive!$I:$I,M$24)&gt;0,
SUMIFS(Archive!$C:$C,Archive!$B:$B,$A27,Archive!$I:$I,M$24),NA()),IF(
SUMIFS(Archive!$C:$C,Archive!$B:$B,$A27,Archive!$I:$I,M$24,Archive!$J:$J,_xlfn.XLOOKUP($S$1,Lists!$B:$B,Lists!$A:$A))&gt;0,
SUMIFS(Archive!$C:$C,Archive!$B:$B,$A27,Archive!$I:$I,M$24,Archive!$J:$J,_xlfn.XLOOKUP($S$1,Lists!$B:$B,Lists!$A:$A)),NA()))</f>
        <v>#N/A</v>
      </c>
      <c r="N27" t="e">
        <f>IF($S$1=10,IF(
SUMIFS(Archive!$C:$C,Archive!$B:$B,$A27,Archive!$I:$I,N$24)&gt;0,
SUMIFS(Archive!$C:$C,Archive!$B:$B,$A27,Archive!$I:$I,N$24),NA()),IF(
SUMIFS(Archive!$C:$C,Archive!$B:$B,$A27,Archive!$I:$I,N$24,Archive!$J:$J,_xlfn.XLOOKUP($S$1,Lists!$B:$B,Lists!$A:$A))&gt;0,
SUMIFS(Archive!$C:$C,Archive!$B:$B,$A27,Archive!$I:$I,N$24,Archive!$J:$J,_xlfn.XLOOKUP($S$1,Lists!$B:$B,Lists!$A:$A)),NA()))</f>
        <v>#N/A</v>
      </c>
      <c r="O27" t="e">
        <f>IF($S$1=10,IF(
SUMIFS(Archive!$C:$C,Archive!$B:$B,$A27,Archive!$I:$I,O$24)&gt;0,
SUMIFS(Archive!$C:$C,Archive!$B:$B,$A27,Archive!$I:$I,O$24),NA()),IF(
SUMIFS(Archive!$C:$C,Archive!$B:$B,$A27,Archive!$I:$I,O$24,Archive!$J:$J,_xlfn.XLOOKUP($S$1,Lists!$B:$B,Lists!$A:$A))&gt;0,
SUMIFS(Archive!$C:$C,Archive!$B:$B,$A27,Archive!$I:$I,O$24,Archive!$J:$J,_xlfn.XLOOKUP($S$1,Lists!$B:$B,Lists!$A:$A)),NA()))</f>
        <v>#N/A</v>
      </c>
      <c r="P27" t="e">
        <f>IF($S$1=10,IF(
SUMIFS(Archive!$C:$C,Archive!$B:$B,$A27,Archive!$I:$I,P$24)&gt;0,
SUMIFS(Archive!$C:$C,Archive!$B:$B,$A27,Archive!$I:$I,P$24),NA()),IF(
SUMIFS(Archive!$C:$C,Archive!$B:$B,$A27,Archive!$I:$I,P$24,Archive!$J:$J,_xlfn.XLOOKUP($S$1,Lists!$B:$B,Lists!$A:$A))&gt;0,
SUMIFS(Archive!$C:$C,Archive!$B:$B,$A27,Archive!$I:$I,P$24,Archive!$J:$J,_xlfn.XLOOKUP($S$1,Lists!$B:$B,Lists!$A:$A)),NA()))</f>
        <v>#N/A</v>
      </c>
      <c r="Q27" t="e">
        <f>IF($S$1=10,IF(
SUMIFS(Archive!$C:$C,Archive!$B:$B,$A27,Archive!$I:$I,Q$24)&gt;0,
SUMIFS(Archive!$C:$C,Archive!$B:$B,$A27,Archive!$I:$I,Q$24),NA()),IF(
SUMIFS(Archive!$C:$C,Archive!$B:$B,$A27,Archive!$I:$I,Q$24,Archive!$J:$J,_xlfn.XLOOKUP($S$1,Lists!$B:$B,Lists!$A:$A))&gt;0,
SUMIFS(Archive!$C:$C,Archive!$B:$B,$A27,Archive!$I:$I,Q$24,Archive!$J:$J,_xlfn.XLOOKUP($S$1,Lists!$B:$B,Lists!$A:$A)),NA()))</f>
        <v>#N/A</v>
      </c>
      <c r="R27" t="e">
        <f>IF($S$1=10,IF(
SUMIFS(Archive!$C:$C,Archive!$B:$B,$A27,Archive!$I:$I,R$24)&gt;0,
SUMIFS(Archive!$C:$C,Archive!$B:$B,$A27,Archive!$I:$I,R$24),NA()),IF(
SUMIFS(Archive!$C:$C,Archive!$B:$B,$A27,Archive!$I:$I,R$24,Archive!$J:$J,_xlfn.XLOOKUP($S$1,Lists!$B:$B,Lists!$A:$A))&gt;0,
SUMIFS(Archive!$C:$C,Archive!$B:$B,$A27,Archive!$I:$I,R$24,Archive!$J:$J,_xlfn.XLOOKUP($S$1,Lists!$B:$B,Lists!$A:$A)),NA()))</f>
        <v>#N/A</v>
      </c>
      <c r="S27" t="e">
        <f>IF($S$1=10,IF(
SUMIFS(Archive!$C:$C,Archive!$B:$B,$A27,Archive!$I:$I,S$24)&gt;0,
SUMIFS(Archive!$C:$C,Archive!$B:$B,$A27,Archive!$I:$I,S$24),NA()),IF(
SUMIFS(Archive!$C:$C,Archive!$B:$B,$A27,Archive!$I:$I,S$24,Archive!$J:$J,_xlfn.XLOOKUP($S$1,Lists!$B:$B,Lists!$A:$A))&gt;0,
SUMIFS(Archive!$C:$C,Archive!$B:$B,$A27,Archive!$I:$I,S$24,Archive!$J:$J,_xlfn.XLOOKUP($S$1,Lists!$B:$B,Lists!$A:$A)),NA()))</f>
        <v>#N/A</v>
      </c>
      <c r="T27" t="e">
        <f>IF($S$1=10,IF(
SUMIFS(Archive!$C:$C,Archive!$B:$B,$A27,Archive!$I:$I,T$24)&gt;0,
SUMIFS(Archive!$C:$C,Archive!$B:$B,$A27,Archive!$I:$I,T$24),NA()),IF(
SUMIFS(Archive!$C:$C,Archive!$B:$B,$A27,Archive!$I:$I,T$24,Archive!$J:$J,_xlfn.XLOOKUP($S$1,Lists!$B:$B,Lists!$A:$A))&gt;0,
SUMIFS(Archive!$C:$C,Archive!$B:$B,$A27,Archive!$I:$I,T$24,Archive!$J:$J,_xlfn.XLOOKUP($S$1,Lists!$B:$B,Lists!$A:$A)),NA()))</f>
        <v>#N/A</v>
      </c>
      <c r="U27" t="e">
        <f>IF($S$1=10,IF(
SUMIFS(Archive!$C:$C,Archive!$B:$B,$A27,Archive!$I:$I,U$24)&gt;0,
SUMIFS(Archive!$C:$C,Archive!$B:$B,$A27,Archive!$I:$I,U$24),NA()),IF(
SUMIFS(Archive!$C:$C,Archive!$B:$B,$A27,Archive!$I:$I,U$24,Archive!$J:$J,_xlfn.XLOOKUP($S$1,Lists!$B:$B,Lists!$A:$A))&gt;0,
SUMIFS(Archive!$C:$C,Archive!$B:$B,$A27,Archive!$I:$I,U$24,Archive!$J:$J,_xlfn.XLOOKUP($S$1,Lists!$B:$B,Lists!$A:$A)),NA()))</f>
        <v>#N/A</v>
      </c>
      <c r="V27" t="e">
        <f>IF($S$1=10,IF(
SUMIFS(Archive!$C:$C,Archive!$B:$B,$A27,Archive!$I:$I,V$24)&gt;0,
SUMIFS(Archive!$C:$C,Archive!$B:$B,$A27,Archive!$I:$I,V$24),NA()),IF(
SUMIFS(Archive!$C:$C,Archive!$B:$B,$A27,Archive!$I:$I,V$24,Archive!$J:$J,_xlfn.XLOOKUP($S$1,Lists!$B:$B,Lists!$A:$A))&gt;0,
SUMIFS(Archive!$C:$C,Archive!$B:$B,$A27,Archive!$I:$I,V$24,Archive!$J:$J,_xlfn.XLOOKUP($S$1,Lists!$B:$B,Lists!$A:$A)),NA()))</f>
        <v>#N/A</v>
      </c>
      <c r="W27" t="e">
        <f>IF($S$1=10,IF(
SUMIFS(Archive!$C:$C,Archive!$B:$B,$A27,Archive!$I:$I,W$24)&gt;0,
SUMIFS(Archive!$C:$C,Archive!$B:$B,$A27,Archive!$I:$I,W$24),NA()),IF(
SUMIFS(Archive!$C:$C,Archive!$B:$B,$A27,Archive!$I:$I,W$24,Archive!$J:$J,_xlfn.XLOOKUP($S$1,Lists!$B:$B,Lists!$A:$A))&gt;0,
SUMIFS(Archive!$C:$C,Archive!$B:$B,$A27,Archive!$I:$I,W$24,Archive!$J:$J,_xlfn.XLOOKUP($S$1,Lists!$B:$B,Lists!$A:$A)),NA()))</f>
        <v>#N/A</v>
      </c>
      <c r="X27" t="e">
        <f>IF($S$1=10,IF(
SUMIFS(Archive!$C:$C,Archive!$B:$B,$A27,Archive!$I:$I,X$24)&gt;0,
SUMIFS(Archive!$C:$C,Archive!$B:$B,$A27,Archive!$I:$I,X$24),NA()),IF(
SUMIFS(Archive!$C:$C,Archive!$B:$B,$A27,Archive!$I:$I,X$24,Archive!$J:$J,_xlfn.XLOOKUP($S$1,Lists!$B:$B,Lists!$A:$A))&gt;0,
SUMIFS(Archive!$C:$C,Archive!$B:$B,$A27,Archive!$I:$I,X$24,Archive!$J:$J,_xlfn.XLOOKUP($S$1,Lists!$B:$B,Lists!$A:$A)),NA()))</f>
        <v>#N/A</v>
      </c>
      <c r="Y27" t="e">
        <f>IF($S$1=10,IF(
SUMIFS(Archive!$C:$C,Archive!$B:$B,$A27,Archive!$I:$I,Y$24)&gt;0,
SUMIFS(Archive!$C:$C,Archive!$B:$B,$A27,Archive!$I:$I,Y$24),NA()),IF(
SUMIFS(Archive!$C:$C,Archive!$B:$B,$A27,Archive!$I:$I,Y$24,Archive!$J:$J,_xlfn.XLOOKUP($S$1,Lists!$B:$B,Lists!$A:$A))&gt;0,
SUMIFS(Archive!$C:$C,Archive!$B:$B,$A27,Archive!$I:$I,Y$24,Archive!$J:$J,_xlfn.XLOOKUP($S$1,Lists!$B:$B,Lists!$A:$A)),NA()))</f>
        <v>#N/A</v>
      </c>
      <c r="Z27" t="e">
        <f>IF($S$1=10,IF(
SUMIFS(Archive!$C:$C,Archive!$B:$B,$A27,Archive!$I:$I,Z$24)&gt;0,
SUMIFS(Archive!$C:$C,Archive!$B:$B,$A27,Archive!$I:$I,Z$24),NA()),IF(
SUMIFS(Archive!$C:$C,Archive!$B:$B,$A27,Archive!$I:$I,Z$24,Archive!$J:$J,_xlfn.XLOOKUP($S$1,Lists!$B:$B,Lists!$A:$A))&gt;0,
SUMIFS(Archive!$C:$C,Archive!$B:$B,$A27,Archive!$I:$I,Z$24,Archive!$J:$J,_xlfn.XLOOKUP($S$1,Lists!$B:$B,Lists!$A:$A)),NA()))</f>
        <v>#N/A</v>
      </c>
      <c r="AA27" t="e">
        <f>IF($S$1=10,IF(
SUMIFS(Archive!$C:$C,Archive!$B:$B,$A27,Archive!$I:$I,AA$24)&gt;0,
SUMIFS(Archive!$C:$C,Archive!$B:$B,$A27,Archive!$I:$I,AA$24),NA()),IF(
SUMIFS(Archive!$C:$C,Archive!$B:$B,$A27,Archive!$I:$I,AA$24,Archive!$J:$J,_xlfn.XLOOKUP($S$1,Lists!$B:$B,Lists!$A:$A))&gt;0,
SUMIFS(Archive!$C:$C,Archive!$B:$B,$A27,Archive!$I:$I,AA$24,Archive!$J:$J,_xlfn.XLOOKUP($S$1,Lists!$B:$B,Lists!$A:$A)),NA()))</f>
        <v>#N/A</v>
      </c>
      <c r="AB27" t="e">
        <f>IF($S$1=10,IF(
SUMIFS(Archive!$C:$C,Archive!$B:$B,$A27,Archive!$I:$I,AB$24)&gt;0,
SUMIFS(Archive!$C:$C,Archive!$B:$B,$A27,Archive!$I:$I,AB$24),NA()),IF(
SUMIFS(Archive!$C:$C,Archive!$B:$B,$A27,Archive!$I:$I,AB$24,Archive!$J:$J,_xlfn.XLOOKUP($S$1,Lists!$B:$B,Lists!$A:$A))&gt;0,
SUMIFS(Archive!$C:$C,Archive!$B:$B,$A27,Archive!$I:$I,AB$24,Archive!$J:$J,_xlfn.XLOOKUP($S$1,Lists!$B:$B,Lists!$A:$A)),NA()))</f>
        <v>#N/A</v>
      </c>
      <c r="AC27" t="e">
        <f>IF($S$1=10,IF(
SUMIFS(Archive!$C:$C,Archive!$B:$B,$A27,Archive!$I:$I,AC$24)&gt;0,
SUMIFS(Archive!$C:$C,Archive!$B:$B,$A27,Archive!$I:$I,AC$24),NA()),IF(
SUMIFS(Archive!$C:$C,Archive!$B:$B,$A27,Archive!$I:$I,AC$24,Archive!$J:$J,_xlfn.XLOOKUP($S$1,Lists!$B:$B,Lists!$A:$A))&gt;0,
SUMIFS(Archive!$C:$C,Archive!$B:$B,$A27,Archive!$I:$I,AC$24,Archive!$J:$J,_xlfn.XLOOKUP($S$1,Lists!$B:$B,Lists!$A:$A)),NA()))</f>
        <v>#N/A</v>
      </c>
      <c r="AD27" t="e">
        <f>IF($S$1=10,IF(
SUMIFS(Archive!$C:$C,Archive!$B:$B,$A27,Archive!$I:$I,AD$24)&gt;0,
SUMIFS(Archive!$C:$C,Archive!$B:$B,$A27,Archive!$I:$I,AD$24),NA()),IF(
SUMIFS(Archive!$C:$C,Archive!$B:$B,$A27,Archive!$I:$I,AD$24,Archive!$J:$J,_xlfn.XLOOKUP($S$1,Lists!$B:$B,Lists!$A:$A))&gt;0,
SUMIFS(Archive!$C:$C,Archive!$B:$B,$A27,Archive!$I:$I,AD$24,Archive!$J:$J,_xlfn.XLOOKUP($S$1,Lists!$B:$B,Lists!$A:$A)),NA()))</f>
        <v>#N/A</v>
      </c>
      <c r="AE27" t="e">
        <f>IF($S$1=10,IF(
SUMIFS(Archive!$C:$C,Archive!$B:$B,$A27,Archive!$I:$I,AE$24)&gt;0,
SUMIFS(Archive!$C:$C,Archive!$B:$B,$A27,Archive!$I:$I,AE$24),NA()),IF(
SUMIFS(Archive!$C:$C,Archive!$B:$B,$A27,Archive!$I:$I,AE$24,Archive!$J:$J,_xlfn.XLOOKUP($S$1,Lists!$B:$B,Lists!$A:$A))&gt;0,
SUMIFS(Archive!$C:$C,Archive!$B:$B,$A27,Archive!$I:$I,AE$24,Archive!$J:$J,_xlfn.XLOOKUP($S$1,Lists!$B:$B,Lists!$A:$A)),NA()))</f>
        <v>#N/A</v>
      </c>
      <c r="AF27" t="e">
        <f>IF($S$1=10,IF(
SUMIFS(Archive!$C:$C,Archive!$B:$B,$A27,Archive!$I:$I,AF$24)&gt;0,
SUMIFS(Archive!$C:$C,Archive!$B:$B,$A27,Archive!$I:$I,AF$24),NA()),IF(
SUMIFS(Archive!$C:$C,Archive!$B:$B,$A27,Archive!$I:$I,AF$24,Archive!$J:$J,_xlfn.XLOOKUP($S$1,Lists!$B:$B,Lists!$A:$A))&gt;0,
SUMIFS(Archive!$C:$C,Archive!$B:$B,$A27,Archive!$I:$I,AF$24,Archive!$J:$J,_xlfn.XLOOKUP($S$1,Lists!$B:$B,Lists!$A:$A)),NA()))</f>
        <v>#N/A</v>
      </c>
      <c r="AG27" t="e">
        <f>IF($S$1=10,IF(
SUMIFS(Archive!$C:$C,Archive!$B:$B,$A27,Archive!$I:$I,AG$24)&gt;0,
SUMIFS(Archive!$C:$C,Archive!$B:$B,$A27,Archive!$I:$I,AG$24),NA()),IF(
SUMIFS(Archive!$C:$C,Archive!$B:$B,$A27,Archive!$I:$I,AG$24,Archive!$J:$J,_xlfn.XLOOKUP($S$1,Lists!$B:$B,Lists!$A:$A))&gt;0,
SUMIFS(Archive!$C:$C,Archive!$B:$B,$A27,Archive!$I:$I,AG$24,Archive!$J:$J,_xlfn.XLOOKUP($S$1,Lists!$B:$B,Lists!$A:$A)),NA()))</f>
        <v>#N/A</v>
      </c>
      <c r="AH27" t="e">
        <f>IF($S$1=10,IF(
SUMIFS(Archive!$C:$C,Archive!$B:$B,$A27,Archive!$I:$I,AH$24)&gt;0,
SUMIFS(Archive!$C:$C,Archive!$B:$B,$A27,Archive!$I:$I,AH$24),NA()),IF(
SUMIFS(Archive!$C:$C,Archive!$B:$B,$A27,Archive!$I:$I,AH$24,Archive!$J:$J,_xlfn.XLOOKUP($S$1,Lists!$B:$B,Lists!$A:$A))&gt;0,
SUMIFS(Archive!$C:$C,Archive!$B:$B,$A27,Archive!$I:$I,AH$24,Archive!$J:$J,_xlfn.XLOOKUP($S$1,Lists!$B:$B,Lists!$A:$A)),NA()))</f>
        <v>#N/A</v>
      </c>
      <c r="AI27" t="e">
        <f>IF($S$1=10,IF(
SUMIFS(Archive!$C:$C,Archive!$B:$B,$A27,Archive!$I:$I,AI$24)&gt;0,
SUMIFS(Archive!$C:$C,Archive!$B:$B,$A27,Archive!$I:$I,AI$24),NA()),IF(
SUMIFS(Archive!$C:$C,Archive!$B:$B,$A27,Archive!$I:$I,AI$24,Archive!$J:$J,_xlfn.XLOOKUP($S$1,Lists!$B:$B,Lists!$A:$A))&gt;0,
SUMIFS(Archive!$C:$C,Archive!$B:$B,$A27,Archive!$I:$I,AI$24,Archive!$J:$J,_xlfn.XLOOKUP($S$1,Lists!$B:$B,Lists!$A:$A)),NA()))</f>
        <v>#N/A</v>
      </c>
      <c r="AJ27" t="e">
        <f>IF($S$1=10,IF(
SUMIFS(Archive!$C:$C,Archive!$B:$B,$A27,Archive!$I:$I,AJ$24)&gt;0,
SUMIFS(Archive!$C:$C,Archive!$B:$B,$A27,Archive!$I:$I,AJ$24),NA()),IF(
SUMIFS(Archive!$C:$C,Archive!$B:$B,$A27,Archive!$I:$I,AJ$24,Archive!$J:$J,_xlfn.XLOOKUP($S$1,Lists!$B:$B,Lists!$A:$A))&gt;0,
SUMIFS(Archive!$C:$C,Archive!$B:$B,$A27,Archive!$I:$I,AJ$24,Archive!$J:$J,_xlfn.XLOOKUP($S$1,Lists!$B:$B,Lists!$A:$A)),NA()))</f>
        <v>#N/A</v>
      </c>
      <c r="AK27" t="e">
        <f>IF($S$1=10,IF(
SUMIFS(Archive!$C:$C,Archive!$B:$B,$A27,Archive!$I:$I,AK$24)&gt;0,
SUMIFS(Archive!$C:$C,Archive!$B:$B,$A27,Archive!$I:$I,AK$24),NA()),IF(
SUMIFS(Archive!$C:$C,Archive!$B:$B,$A27,Archive!$I:$I,AK$24,Archive!$J:$J,_xlfn.XLOOKUP($S$1,Lists!$B:$B,Lists!$A:$A))&gt;0,
SUMIFS(Archive!$C:$C,Archive!$B:$B,$A27,Archive!$I:$I,AK$24,Archive!$J:$J,_xlfn.XLOOKUP($S$1,Lists!$B:$B,Lists!$A:$A)),NA()))</f>
        <v>#N/A</v>
      </c>
      <c r="AL27" t="e">
        <f>IF($S$1=10,IF(
SUMIFS(Archive!$C:$C,Archive!$B:$B,$A27,Archive!$I:$I,AL$24)&gt;0,
SUMIFS(Archive!$C:$C,Archive!$B:$B,$A27,Archive!$I:$I,AL$24),NA()),IF(
SUMIFS(Archive!$C:$C,Archive!$B:$B,$A27,Archive!$I:$I,AL$24,Archive!$J:$J,_xlfn.XLOOKUP($S$1,Lists!$B:$B,Lists!$A:$A))&gt;0,
SUMIFS(Archive!$C:$C,Archive!$B:$B,$A27,Archive!$I:$I,AL$24,Archive!$J:$J,_xlfn.XLOOKUP($S$1,Lists!$B:$B,Lists!$A:$A)),NA()))</f>
        <v>#N/A</v>
      </c>
      <c r="AM27" t="e">
        <f>IF($S$1=10,IF(
SUMIFS(Archive!$C:$C,Archive!$B:$B,$A27,Archive!$I:$I,AM$24)&gt;0,
SUMIFS(Archive!$C:$C,Archive!$B:$B,$A27,Archive!$I:$I,AM$24),NA()),IF(
SUMIFS(Archive!$C:$C,Archive!$B:$B,$A27,Archive!$I:$I,AM$24,Archive!$J:$J,_xlfn.XLOOKUP($S$1,Lists!$B:$B,Lists!$A:$A))&gt;0,
SUMIFS(Archive!$C:$C,Archive!$B:$B,$A27,Archive!$I:$I,AM$24,Archive!$J:$J,_xlfn.XLOOKUP($S$1,Lists!$B:$B,Lists!$A:$A)),NA()))</f>
        <v>#N/A</v>
      </c>
      <c r="AN27" t="e">
        <f>IF($S$1=10,IF(
SUMIFS(Archive!$C:$C,Archive!$B:$B,$A27,Archive!$I:$I,AN$24)&gt;0,
SUMIFS(Archive!$C:$C,Archive!$B:$B,$A27,Archive!$I:$I,AN$24),NA()),IF(
SUMIFS(Archive!$C:$C,Archive!$B:$B,$A27,Archive!$I:$I,AN$24,Archive!$J:$J,_xlfn.XLOOKUP($S$1,Lists!$B:$B,Lists!$A:$A))&gt;0,
SUMIFS(Archive!$C:$C,Archive!$B:$B,$A27,Archive!$I:$I,AN$24,Archive!$J:$J,_xlfn.XLOOKUP($S$1,Lists!$B:$B,Lists!$A:$A)),NA()))</f>
        <v>#N/A</v>
      </c>
      <c r="AO27" t="e">
        <f>IF($S$1=10,IF(
SUMIFS(Archive!$C:$C,Archive!$B:$B,$A27,Archive!$I:$I,AO$24)&gt;0,
SUMIFS(Archive!$C:$C,Archive!$B:$B,$A27,Archive!$I:$I,AO$24),NA()),IF(
SUMIFS(Archive!$C:$C,Archive!$B:$B,$A27,Archive!$I:$I,AO$24,Archive!$J:$J,_xlfn.XLOOKUP($S$1,Lists!$B:$B,Lists!$A:$A))&gt;0,
SUMIFS(Archive!$C:$C,Archive!$B:$B,$A27,Archive!$I:$I,AO$24,Archive!$J:$J,_xlfn.XLOOKUP($S$1,Lists!$B:$B,Lists!$A:$A)),NA()))</f>
        <v>#N/A</v>
      </c>
      <c r="AP27" t="e">
        <f>IF($S$1=10,IF(
SUMIFS(Archive!$C:$C,Archive!$B:$B,$A27,Archive!$I:$I,AP$24)&gt;0,
SUMIFS(Archive!$C:$C,Archive!$B:$B,$A27,Archive!$I:$I,AP$24),NA()),IF(
SUMIFS(Archive!$C:$C,Archive!$B:$B,$A27,Archive!$I:$I,AP$24,Archive!$J:$J,_xlfn.XLOOKUP($S$1,Lists!$B:$B,Lists!$A:$A))&gt;0,
SUMIFS(Archive!$C:$C,Archive!$B:$B,$A27,Archive!$I:$I,AP$24,Archive!$J:$J,_xlfn.XLOOKUP($S$1,Lists!$B:$B,Lists!$A:$A)),NA()))</f>
        <v>#N/A</v>
      </c>
      <c r="AQ27" t="e">
        <f>IF($S$1=10,IF(
SUMIFS(Archive!$C:$C,Archive!$B:$B,$A27,Archive!$I:$I,AQ$24)&gt;0,
SUMIFS(Archive!$C:$C,Archive!$B:$B,$A27,Archive!$I:$I,AQ$24),NA()),IF(
SUMIFS(Archive!$C:$C,Archive!$B:$B,$A27,Archive!$I:$I,AQ$24,Archive!$J:$J,_xlfn.XLOOKUP($S$1,Lists!$B:$B,Lists!$A:$A))&gt;0,
SUMIFS(Archive!$C:$C,Archive!$B:$B,$A27,Archive!$I:$I,AQ$24,Archive!$J:$J,_xlfn.XLOOKUP($S$1,Lists!$B:$B,Lists!$A:$A)),NA()))</f>
        <v>#N/A</v>
      </c>
      <c r="AR27" t="e">
        <f>IF($S$1=10,IF(
SUMIFS(Archive!$C:$C,Archive!$B:$B,$A27,Archive!$I:$I,AR$24)&gt;0,
SUMIFS(Archive!$C:$C,Archive!$B:$B,$A27,Archive!$I:$I,AR$24),NA()),IF(
SUMIFS(Archive!$C:$C,Archive!$B:$B,$A27,Archive!$I:$I,AR$24,Archive!$J:$J,_xlfn.XLOOKUP($S$1,Lists!$B:$B,Lists!$A:$A))&gt;0,
SUMIFS(Archive!$C:$C,Archive!$B:$B,$A27,Archive!$I:$I,AR$24,Archive!$J:$J,_xlfn.XLOOKUP($S$1,Lists!$B:$B,Lists!$A:$A)),NA()))</f>
        <v>#N/A</v>
      </c>
      <c r="AS27" t="e">
        <f>IF($S$1=10,IF(
SUMIFS(Archive!$C:$C,Archive!$B:$B,$A27,Archive!$I:$I,AS$24)&gt;0,
SUMIFS(Archive!$C:$C,Archive!$B:$B,$A27,Archive!$I:$I,AS$24),NA()),IF(
SUMIFS(Archive!$C:$C,Archive!$B:$B,$A27,Archive!$I:$I,AS$24,Archive!$J:$J,_xlfn.XLOOKUP($S$1,Lists!$B:$B,Lists!$A:$A))&gt;0,
SUMIFS(Archive!$C:$C,Archive!$B:$B,$A27,Archive!$I:$I,AS$24,Archive!$J:$J,_xlfn.XLOOKUP($S$1,Lists!$B:$B,Lists!$A:$A)),NA()))</f>
        <v>#N/A</v>
      </c>
      <c r="AT27" t="e">
        <f>IF($S$1=10,IF(
SUMIFS(Archive!$C:$C,Archive!$B:$B,$A27,Archive!$I:$I,AT$24)&gt;0,
SUMIFS(Archive!$C:$C,Archive!$B:$B,$A27,Archive!$I:$I,AT$24),NA()),IF(
SUMIFS(Archive!$C:$C,Archive!$B:$B,$A27,Archive!$I:$I,AT$24,Archive!$J:$J,_xlfn.XLOOKUP($S$1,Lists!$B:$B,Lists!$A:$A))&gt;0,
SUMIFS(Archive!$C:$C,Archive!$B:$B,$A27,Archive!$I:$I,AT$24,Archive!$J:$J,_xlfn.XLOOKUP($S$1,Lists!$B:$B,Lists!$A:$A)),NA()))</f>
        <v>#N/A</v>
      </c>
      <c r="AU27" t="e">
        <f>IF($S$1=10,IF(
SUMIFS(Archive!$C:$C,Archive!$B:$B,$A27,Archive!$I:$I,AU$24)&gt;0,
SUMIFS(Archive!$C:$C,Archive!$B:$B,$A27,Archive!$I:$I,AU$24),NA()),IF(
SUMIFS(Archive!$C:$C,Archive!$B:$B,$A27,Archive!$I:$I,AU$24,Archive!$J:$J,_xlfn.XLOOKUP($S$1,Lists!$B:$B,Lists!$A:$A))&gt;0,
SUMIFS(Archive!$C:$C,Archive!$B:$B,$A27,Archive!$I:$I,AU$24,Archive!$J:$J,_xlfn.XLOOKUP($S$1,Lists!$B:$B,Lists!$A:$A)),NA()))</f>
        <v>#N/A</v>
      </c>
      <c r="AV27" t="e">
        <f>IF($S$1=10,IF(
SUMIFS(Archive!$C:$C,Archive!$B:$B,$A27,Archive!$I:$I,AV$24)&gt;0,
SUMIFS(Archive!$C:$C,Archive!$B:$B,$A27,Archive!$I:$I,AV$24),NA()),IF(
SUMIFS(Archive!$C:$C,Archive!$B:$B,$A27,Archive!$I:$I,AV$24,Archive!$J:$J,_xlfn.XLOOKUP($S$1,Lists!$B:$B,Lists!$A:$A))&gt;0,
SUMIFS(Archive!$C:$C,Archive!$B:$B,$A27,Archive!$I:$I,AV$24,Archive!$J:$J,_xlfn.XLOOKUP($S$1,Lists!$B:$B,Lists!$A:$A)),NA()))</f>
        <v>#N/A</v>
      </c>
      <c r="AW27" t="e">
        <f>IF($S$1=10,IF(
SUMIFS(Archive!$C:$C,Archive!$B:$B,$A27,Archive!$I:$I,AW$24)&gt;0,
SUMIFS(Archive!$C:$C,Archive!$B:$B,$A27,Archive!$I:$I,AW$24),NA()),IF(
SUMIFS(Archive!$C:$C,Archive!$B:$B,$A27,Archive!$I:$I,AW$24,Archive!$J:$J,_xlfn.XLOOKUP($S$1,Lists!$B:$B,Lists!$A:$A))&gt;0,
SUMIFS(Archive!$C:$C,Archive!$B:$B,$A27,Archive!$I:$I,AW$24,Archive!$J:$J,_xlfn.XLOOKUP($S$1,Lists!$B:$B,Lists!$A:$A)),NA()))</f>
        <v>#N/A</v>
      </c>
      <c r="AX27" t="e">
        <f>IF($S$1=10,IF(
SUMIFS(Archive!$C:$C,Archive!$B:$B,$A27,Archive!$I:$I,AX$24)&gt;0,
SUMIFS(Archive!$C:$C,Archive!$B:$B,$A27,Archive!$I:$I,AX$24),NA()),IF(
SUMIFS(Archive!$C:$C,Archive!$B:$B,$A27,Archive!$I:$I,AX$24,Archive!$J:$J,_xlfn.XLOOKUP($S$1,Lists!$B:$B,Lists!$A:$A))&gt;0,
SUMIFS(Archive!$C:$C,Archive!$B:$B,$A27,Archive!$I:$I,AX$24,Archive!$J:$J,_xlfn.XLOOKUP($S$1,Lists!$B:$B,Lists!$A:$A)),NA()))</f>
        <v>#N/A</v>
      </c>
      <c r="AY27" t="e">
        <f>IF($S$1=10,IF(
SUMIFS(Archive!$C:$C,Archive!$B:$B,$A27,Archive!$I:$I,AY$24)&gt;0,
SUMIFS(Archive!$C:$C,Archive!$B:$B,$A27,Archive!$I:$I,AY$24),NA()),IF(
SUMIFS(Archive!$C:$C,Archive!$B:$B,$A27,Archive!$I:$I,AY$24,Archive!$J:$J,_xlfn.XLOOKUP($S$1,Lists!$B:$B,Lists!$A:$A))&gt;0,
SUMIFS(Archive!$C:$C,Archive!$B:$B,$A27,Archive!$I:$I,AY$24,Archive!$J:$J,_xlfn.XLOOKUP($S$1,Lists!$B:$B,Lists!$A:$A)),NA()))</f>
        <v>#N/A</v>
      </c>
      <c r="AZ27" t="e">
        <f>IF($S$1=10,IF(
SUMIFS(Archive!$C:$C,Archive!$B:$B,$A27,Archive!$I:$I,AZ$24)&gt;0,
SUMIFS(Archive!$C:$C,Archive!$B:$B,$A27,Archive!$I:$I,AZ$24),NA()),IF(
SUMIFS(Archive!$C:$C,Archive!$B:$B,$A27,Archive!$I:$I,AZ$24,Archive!$J:$J,_xlfn.XLOOKUP($S$1,Lists!$B:$B,Lists!$A:$A))&gt;0,
SUMIFS(Archive!$C:$C,Archive!$B:$B,$A27,Archive!$I:$I,AZ$24,Archive!$J:$J,_xlfn.XLOOKUP($S$1,Lists!$B:$B,Lists!$A:$A)),NA()))</f>
        <v>#N/A</v>
      </c>
    </row>
    <row r="28" spans="1:52">
      <c r="A28" t="s">
        <v>10</v>
      </c>
      <c r="B28" t="e">
        <f>IF($S$1=10,IF(
SUMIFS(Archive!$C:$C,Archive!$B:$B,$A28,Archive!$I:$I,B$24)&gt;0,
SUMIFS(Archive!$C:$C,Archive!$B:$B,$A28,Archive!$I:$I,B$24),NA()),IF(
SUMIFS(Archive!$C:$C,Archive!$B:$B,$A28,Archive!$I:$I,B$24,Archive!$J:$J,_xlfn.XLOOKUP($S$1,Lists!$B:$B,Lists!$A:$A))&gt;0,
SUMIFS(Archive!$C:$C,Archive!$B:$B,$A28,Archive!$I:$I,B$24,Archive!$J:$J,_xlfn.XLOOKUP($S$1,Lists!$B:$B,Lists!$A:$A)),NA()))</f>
        <v>#N/A</v>
      </c>
      <c r="C28" t="e">
        <f>IF($S$1=10,IF(
SUMIFS(Archive!$C:$C,Archive!$B:$B,$A28,Archive!$I:$I,C$24)&gt;0,
SUMIFS(Archive!$C:$C,Archive!$B:$B,$A28,Archive!$I:$I,C$24),NA()),IF(
SUMIFS(Archive!$C:$C,Archive!$B:$B,$A28,Archive!$I:$I,C$24,Archive!$J:$J,_xlfn.XLOOKUP($S$1,Lists!$B:$B,Lists!$A:$A))&gt;0,
SUMIFS(Archive!$C:$C,Archive!$B:$B,$A28,Archive!$I:$I,C$24,Archive!$J:$J,_xlfn.XLOOKUP($S$1,Lists!$B:$B,Lists!$A:$A)),NA()))</f>
        <v>#N/A</v>
      </c>
      <c r="D28" t="e">
        <f>IF($S$1=10,IF(
SUMIFS(Archive!$C:$C,Archive!$B:$B,$A28,Archive!$I:$I,D$24)&gt;0,
SUMIFS(Archive!$C:$C,Archive!$B:$B,$A28,Archive!$I:$I,D$24),NA()),IF(
SUMIFS(Archive!$C:$C,Archive!$B:$B,$A28,Archive!$I:$I,D$24,Archive!$J:$J,_xlfn.XLOOKUP($S$1,Lists!$B:$B,Lists!$A:$A))&gt;0,
SUMIFS(Archive!$C:$C,Archive!$B:$B,$A28,Archive!$I:$I,D$24,Archive!$J:$J,_xlfn.XLOOKUP($S$1,Lists!$B:$B,Lists!$A:$A)),NA()))</f>
        <v>#N/A</v>
      </c>
      <c r="E28" t="e">
        <f>IF($S$1=10,IF(
SUMIFS(Archive!$C:$C,Archive!$B:$B,$A28,Archive!$I:$I,E$24)&gt;0,
SUMIFS(Archive!$C:$C,Archive!$B:$B,$A28,Archive!$I:$I,E$24),NA()),IF(
SUMIFS(Archive!$C:$C,Archive!$B:$B,$A28,Archive!$I:$I,E$24,Archive!$J:$J,_xlfn.XLOOKUP($S$1,Lists!$B:$B,Lists!$A:$A))&gt;0,
SUMIFS(Archive!$C:$C,Archive!$B:$B,$A28,Archive!$I:$I,E$24,Archive!$J:$J,_xlfn.XLOOKUP($S$1,Lists!$B:$B,Lists!$A:$A)),NA()))</f>
        <v>#N/A</v>
      </c>
      <c r="F28" t="e">
        <f>IF($S$1=10,IF(
SUMIFS(Archive!$C:$C,Archive!$B:$B,$A28,Archive!$I:$I,F$24)&gt;0,
SUMIFS(Archive!$C:$C,Archive!$B:$B,$A28,Archive!$I:$I,F$24),NA()),IF(
SUMIFS(Archive!$C:$C,Archive!$B:$B,$A28,Archive!$I:$I,F$24,Archive!$J:$J,_xlfn.XLOOKUP($S$1,Lists!$B:$B,Lists!$A:$A))&gt;0,
SUMIFS(Archive!$C:$C,Archive!$B:$B,$A28,Archive!$I:$I,F$24,Archive!$J:$J,_xlfn.XLOOKUP($S$1,Lists!$B:$B,Lists!$A:$A)),NA()))</f>
        <v>#N/A</v>
      </c>
      <c r="G28" t="e">
        <f>IF($S$1=10,IF(
SUMIFS(Archive!$C:$C,Archive!$B:$B,$A28,Archive!$I:$I,G$24)&gt;0,
SUMIFS(Archive!$C:$C,Archive!$B:$B,$A28,Archive!$I:$I,G$24),NA()),IF(
SUMIFS(Archive!$C:$C,Archive!$B:$B,$A28,Archive!$I:$I,G$24,Archive!$J:$J,_xlfn.XLOOKUP($S$1,Lists!$B:$B,Lists!$A:$A))&gt;0,
SUMIFS(Archive!$C:$C,Archive!$B:$B,$A28,Archive!$I:$I,G$24,Archive!$J:$J,_xlfn.XLOOKUP($S$1,Lists!$B:$B,Lists!$A:$A)),NA()))</f>
        <v>#N/A</v>
      </c>
      <c r="H28" t="e">
        <f>IF($S$1=10,IF(
SUMIFS(Archive!$C:$C,Archive!$B:$B,$A28,Archive!$I:$I,H$24)&gt;0,
SUMIFS(Archive!$C:$C,Archive!$B:$B,$A28,Archive!$I:$I,H$24),NA()),IF(
SUMIFS(Archive!$C:$C,Archive!$B:$B,$A28,Archive!$I:$I,H$24,Archive!$J:$J,_xlfn.XLOOKUP($S$1,Lists!$B:$B,Lists!$A:$A))&gt;0,
SUMIFS(Archive!$C:$C,Archive!$B:$B,$A28,Archive!$I:$I,H$24,Archive!$J:$J,_xlfn.XLOOKUP($S$1,Lists!$B:$B,Lists!$A:$A)),NA()))</f>
        <v>#N/A</v>
      </c>
      <c r="I28" t="e">
        <f>IF($S$1=10,IF(
SUMIFS(Archive!$C:$C,Archive!$B:$B,$A28,Archive!$I:$I,I$24)&gt;0,
SUMIFS(Archive!$C:$C,Archive!$B:$B,$A28,Archive!$I:$I,I$24),NA()),IF(
SUMIFS(Archive!$C:$C,Archive!$B:$B,$A28,Archive!$I:$I,I$24,Archive!$J:$J,_xlfn.XLOOKUP($S$1,Lists!$B:$B,Lists!$A:$A))&gt;0,
SUMIFS(Archive!$C:$C,Archive!$B:$B,$A28,Archive!$I:$I,I$24,Archive!$J:$J,_xlfn.XLOOKUP($S$1,Lists!$B:$B,Lists!$A:$A)),NA()))</f>
        <v>#N/A</v>
      </c>
      <c r="J28" t="e">
        <f>IF($S$1=10,IF(
SUMIFS(Archive!$C:$C,Archive!$B:$B,$A28,Archive!$I:$I,J$24)&gt;0,
SUMIFS(Archive!$C:$C,Archive!$B:$B,$A28,Archive!$I:$I,J$24),NA()),IF(
SUMIFS(Archive!$C:$C,Archive!$B:$B,$A28,Archive!$I:$I,J$24,Archive!$J:$J,_xlfn.XLOOKUP($S$1,Lists!$B:$B,Lists!$A:$A))&gt;0,
SUMIFS(Archive!$C:$C,Archive!$B:$B,$A28,Archive!$I:$I,J$24,Archive!$J:$J,_xlfn.XLOOKUP($S$1,Lists!$B:$B,Lists!$A:$A)),NA()))</f>
        <v>#N/A</v>
      </c>
      <c r="K28" t="e">
        <f>IF($S$1=10,IF(
SUMIFS(Archive!$C:$C,Archive!$B:$B,$A28,Archive!$I:$I,K$24)&gt;0,
SUMIFS(Archive!$C:$C,Archive!$B:$B,$A28,Archive!$I:$I,K$24),NA()),IF(
SUMIFS(Archive!$C:$C,Archive!$B:$B,$A28,Archive!$I:$I,K$24,Archive!$J:$J,_xlfn.XLOOKUP($S$1,Lists!$B:$B,Lists!$A:$A))&gt;0,
SUMIFS(Archive!$C:$C,Archive!$B:$B,$A28,Archive!$I:$I,K$24,Archive!$J:$J,_xlfn.XLOOKUP($S$1,Lists!$B:$B,Lists!$A:$A)),NA()))</f>
        <v>#N/A</v>
      </c>
      <c r="L28" t="e">
        <f>IF($S$1=10,IF(
SUMIFS(Archive!$C:$C,Archive!$B:$B,$A28,Archive!$I:$I,L$24)&gt;0,
SUMIFS(Archive!$C:$C,Archive!$B:$B,$A28,Archive!$I:$I,L$24),NA()),IF(
SUMIFS(Archive!$C:$C,Archive!$B:$B,$A28,Archive!$I:$I,L$24,Archive!$J:$J,_xlfn.XLOOKUP($S$1,Lists!$B:$B,Lists!$A:$A))&gt;0,
SUMIFS(Archive!$C:$C,Archive!$B:$B,$A28,Archive!$I:$I,L$24,Archive!$J:$J,_xlfn.XLOOKUP($S$1,Lists!$B:$B,Lists!$A:$A)),NA()))</f>
        <v>#N/A</v>
      </c>
      <c r="M28" t="e">
        <f>IF($S$1=10,IF(
SUMIFS(Archive!$C:$C,Archive!$B:$B,$A28,Archive!$I:$I,M$24)&gt;0,
SUMIFS(Archive!$C:$C,Archive!$B:$B,$A28,Archive!$I:$I,M$24),NA()),IF(
SUMIFS(Archive!$C:$C,Archive!$B:$B,$A28,Archive!$I:$I,M$24,Archive!$J:$J,_xlfn.XLOOKUP($S$1,Lists!$B:$B,Lists!$A:$A))&gt;0,
SUMIFS(Archive!$C:$C,Archive!$B:$B,$A28,Archive!$I:$I,M$24,Archive!$J:$J,_xlfn.XLOOKUP($S$1,Lists!$B:$B,Lists!$A:$A)),NA()))</f>
        <v>#N/A</v>
      </c>
      <c r="N28" t="e">
        <f>IF($S$1=10,IF(
SUMIFS(Archive!$C:$C,Archive!$B:$B,$A28,Archive!$I:$I,N$24)&gt;0,
SUMIFS(Archive!$C:$C,Archive!$B:$B,$A28,Archive!$I:$I,N$24),NA()),IF(
SUMIFS(Archive!$C:$C,Archive!$B:$B,$A28,Archive!$I:$I,N$24,Archive!$J:$J,_xlfn.XLOOKUP($S$1,Lists!$B:$B,Lists!$A:$A))&gt;0,
SUMIFS(Archive!$C:$C,Archive!$B:$B,$A28,Archive!$I:$I,N$24,Archive!$J:$J,_xlfn.XLOOKUP($S$1,Lists!$B:$B,Lists!$A:$A)),NA()))</f>
        <v>#N/A</v>
      </c>
      <c r="O28" t="e">
        <f>IF($S$1=10,IF(
SUMIFS(Archive!$C:$C,Archive!$B:$B,$A28,Archive!$I:$I,O$24)&gt;0,
SUMIFS(Archive!$C:$C,Archive!$B:$B,$A28,Archive!$I:$I,O$24),NA()),IF(
SUMIFS(Archive!$C:$C,Archive!$B:$B,$A28,Archive!$I:$I,O$24,Archive!$J:$J,_xlfn.XLOOKUP($S$1,Lists!$B:$B,Lists!$A:$A))&gt;0,
SUMIFS(Archive!$C:$C,Archive!$B:$B,$A28,Archive!$I:$I,O$24,Archive!$J:$J,_xlfn.XLOOKUP($S$1,Lists!$B:$B,Lists!$A:$A)),NA()))</f>
        <v>#N/A</v>
      </c>
      <c r="P28" t="e">
        <f>IF($S$1=10,IF(
SUMIFS(Archive!$C:$C,Archive!$B:$B,$A28,Archive!$I:$I,P$24)&gt;0,
SUMIFS(Archive!$C:$C,Archive!$B:$B,$A28,Archive!$I:$I,P$24),NA()),IF(
SUMIFS(Archive!$C:$C,Archive!$B:$B,$A28,Archive!$I:$I,P$24,Archive!$J:$J,_xlfn.XLOOKUP($S$1,Lists!$B:$B,Lists!$A:$A))&gt;0,
SUMIFS(Archive!$C:$C,Archive!$B:$B,$A28,Archive!$I:$I,P$24,Archive!$J:$J,_xlfn.XLOOKUP($S$1,Lists!$B:$B,Lists!$A:$A)),NA()))</f>
        <v>#N/A</v>
      </c>
      <c r="Q28" t="e">
        <f>IF($S$1=10,IF(
SUMIFS(Archive!$C:$C,Archive!$B:$B,$A28,Archive!$I:$I,Q$24)&gt;0,
SUMIFS(Archive!$C:$C,Archive!$B:$B,$A28,Archive!$I:$I,Q$24),NA()),IF(
SUMIFS(Archive!$C:$C,Archive!$B:$B,$A28,Archive!$I:$I,Q$24,Archive!$J:$J,_xlfn.XLOOKUP($S$1,Lists!$B:$B,Lists!$A:$A))&gt;0,
SUMIFS(Archive!$C:$C,Archive!$B:$B,$A28,Archive!$I:$I,Q$24,Archive!$J:$J,_xlfn.XLOOKUP($S$1,Lists!$B:$B,Lists!$A:$A)),NA()))</f>
        <v>#N/A</v>
      </c>
      <c r="R28" t="e">
        <f>IF($S$1=10,IF(
SUMIFS(Archive!$C:$C,Archive!$B:$B,$A28,Archive!$I:$I,R$24)&gt;0,
SUMIFS(Archive!$C:$C,Archive!$B:$B,$A28,Archive!$I:$I,R$24),NA()),IF(
SUMIFS(Archive!$C:$C,Archive!$B:$B,$A28,Archive!$I:$I,R$24,Archive!$J:$J,_xlfn.XLOOKUP($S$1,Lists!$B:$B,Lists!$A:$A))&gt;0,
SUMIFS(Archive!$C:$C,Archive!$B:$B,$A28,Archive!$I:$I,R$24,Archive!$J:$J,_xlfn.XLOOKUP($S$1,Lists!$B:$B,Lists!$A:$A)),NA()))</f>
        <v>#N/A</v>
      </c>
      <c r="S28" t="e">
        <f>IF($S$1=10,IF(
SUMIFS(Archive!$C:$C,Archive!$B:$B,$A28,Archive!$I:$I,S$24)&gt;0,
SUMIFS(Archive!$C:$C,Archive!$B:$B,$A28,Archive!$I:$I,S$24),NA()),IF(
SUMIFS(Archive!$C:$C,Archive!$B:$B,$A28,Archive!$I:$I,S$24,Archive!$J:$J,_xlfn.XLOOKUP($S$1,Lists!$B:$B,Lists!$A:$A))&gt;0,
SUMIFS(Archive!$C:$C,Archive!$B:$B,$A28,Archive!$I:$I,S$24,Archive!$J:$J,_xlfn.XLOOKUP($S$1,Lists!$B:$B,Lists!$A:$A)),NA()))</f>
        <v>#N/A</v>
      </c>
      <c r="T28" t="e">
        <f>IF($S$1=10,IF(
SUMIFS(Archive!$C:$C,Archive!$B:$B,$A28,Archive!$I:$I,T$24)&gt;0,
SUMIFS(Archive!$C:$C,Archive!$B:$B,$A28,Archive!$I:$I,T$24),NA()),IF(
SUMIFS(Archive!$C:$C,Archive!$B:$B,$A28,Archive!$I:$I,T$24,Archive!$J:$J,_xlfn.XLOOKUP($S$1,Lists!$B:$B,Lists!$A:$A))&gt;0,
SUMIFS(Archive!$C:$C,Archive!$B:$B,$A28,Archive!$I:$I,T$24,Archive!$J:$J,_xlfn.XLOOKUP($S$1,Lists!$B:$B,Lists!$A:$A)),NA()))</f>
        <v>#N/A</v>
      </c>
      <c r="U28" t="e">
        <f>IF($S$1=10,IF(
SUMIFS(Archive!$C:$C,Archive!$B:$B,$A28,Archive!$I:$I,U$24)&gt;0,
SUMIFS(Archive!$C:$C,Archive!$B:$B,$A28,Archive!$I:$I,U$24),NA()),IF(
SUMIFS(Archive!$C:$C,Archive!$B:$B,$A28,Archive!$I:$I,U$24,Archive!$J:$J,_xlfn.XLOOKUP($S$1,Lists!$B:$B,Lists!$A:$A))&gt;0,
SUMIFS(Archive!$C:$C,Archive!$B:$B,$A28,Archive!$I:$I,U$24,Archive!$J:$J,_xlfn.XLOOKUP($S$1,Lists!$B:$B,Lists!$A:$A)),NA()))</f>
        <v>#N/A</v>
      </c>
      <c r="V28" t="e">
        <f>IF($S$1=10,IF(
SUMIFS(Archive!$C:$C,Archive!$B:$B,$A28,Archive!$I:$I,V$24)&gt;0,
SUMIFS(Archive!$C:$C,Archive!$B:$B,$A28,Archive!$I:$I,V$24),NA()),IF(
SUMIFS(Archive!$C:$C,Archive!$B:$B,$A28,Archive!$I:$I,V$24,Archive!$J:$J,_xlfn.XLOOKUP($S$1,Lists!$B:$B,Lists!$A:$A))&gt;0,
SUMIFS(Archive!$C:$C,Archive!$B:$B,$A28,Archive!$I:$I,V$24,Archive!$J:$J,_xlfn.XLOOKUP($S$1,Lists!$B:$B,Lists!$A:$A)),NA()))</f>
        <v>#N/A</v>
      </c>
      <c r="W28" t="e">
        <f>IF($S$1=10,IF(
SUMIFS(Archive!$C:$C,Archive!$B:$B,$A28,Archive!$I:$I,W$24)&gt;0,
SUMIFS(Archive!$C:$C,Archive!$B:$B,$A28,Archive!$I:$I,W$24),NA()),IF(
SUMIFS(Archive!$C:$C,Archive!$B:$B,$A28,Archive!$I:$I,W$24,Archive!$J:$J,_xlfn.XLOOKUP($S$1,Lists!$B:$B,Lists!$A:$A))&gt;0,
SUMIFS(Archive!$C:$C,Archive!$B:$B,$A28,Archive!$I:$I,W$24,Archive!$J:$J,_xlfn.XLOOKUP($S$1,Lists!$B:$B,Lists!$A:$A)),NA()))</f>
        <v>#N/A</v>
      </c>
      <c r="X28" t="e">
        <f>IF($S$1=10,IF(
SUMIFS(Archive!$C:$C,Archive!$B:$B,$A28,Archive!$I:$I,X$24)&gt;0,
SUMIFS(Archive!$C:$C,Archive!$B:$B,$A28,Archive!$I:$I,X$24),NA()),IF(
SUMIFS(Archive!$C:$C,Archive!$B:$B,$A28,Archive!$I:$I,X$24,Archive!$J:$J,_xlfn.XLOOKUP($S$1,Lists!$B:$B,Lists!$A:$A))&gt;0,
SUMIFS(Archive!$C:$C,Archive!$B:$B,$A28,Archive!$I:$I,X$24,Archive!$J:$J,_xlfn.XLOOKUP($S$1,Lists!$B:$B,Lists!$A:$A)),NA()))</f>
        <v>#N/A</v>
      </c>
      <c r="Y28" t="e">
        <f>IF($S$1=10,IF(
SUMIFS(Archive!$C:$C,Archive!$B:$B,$A28,Archive!$I:$I,Y$24)&gt;0,
SUMIFS(Archive!$C:$C,Archive!$B:$B,$A28,Archive!$I:$I,Y$24),NA()),IF(
SUMIFS(Archive!$C:$C,Archive!$B:$B,$A28,Archive!$I:$I,Y$24,Archive!$J:$J,_xlfn.XLOOKUP($S$1,Lists!$B:$B,Lists!$A:$A))&gt;0,
SUMIFS(Archive!$C:$C,Archive!$B:$B,$A28,Archive!$I:$I,Y$24,Archive!$J:$J,_xlfn.XLOOKUP($S$1,Lists!$B:$B,Lists!$A:$A)),NA()))</f>
        <v>#N/A</v>
      </c>
      <c r="Z28" t="e">
        <f>IF($S$1=10,IF(
SUMIFS(Archive!$C:$C,Archive!$B:$B,$A28,Archive!$I:$I,Z$24)&gt;0,
SUMIFS(Archive!$C:$C,Archive!$B:$B,$A28,Archive!$I:$I,Z$24),NA()),IF(
SUMIFS(Archive!$C:$C,Archive!$B:$B,$A28,Archive!$I:$I,Z$24,Archive!$J:$J,_xlfn.XLOOKUP($S$1,Lists!$B:$B,Lists!$A:$A))&gt;0,
SUMIFS(Archive!$C:$C,Archive!$B:$B,$A28,Archive!$I:$I,Z$24,Archive!$J:$J,_xlfn.XLOOKUP($S$1,Lists!$B:$B,Lists!$A:$A)),NA()))</f>
        <v>#N/A</v>
      </c>
      <c r="AA28" t="e">
        <f>IF($S$1=10,IF(
SUMIFS(Archive!$C:$C,Archive!$B:$B,$A28,Archive!$I:$I,AA$24)&gt;0,
SUMIFS(Archive!$C:$C,Archive!$B:$B,$A28,Archive!$I:$I,AA$24),NA()),IF(
SUMIFS(Archive!$C:$C,Archive!$B:$B,$A28,Archive!$I:$I,AA$24,Archive!$J:$J,_xlfn.XLOOKUP($S$1,Lists!$B:$B,Lists!$A:$A))&gt;0,
SUMIFS(Archive!$C:$C,Archive!$B:$B,$A28,Archive!$I:$I,AA$24,Archive!$J:$J,_xlfn.XLOOKUP($S$1,Lists!$B:$B,Lists!$A:$A)),NA()))</f>
        <v>#N/A</v>
      </c>
      <c r="AB28" t="e">
        <f>IF($S$1=10,IF(
SUMIFS(Archive!$C:$C,Archive!$B:$B,$A28,Archive!$I:$I,AB$24)&gt;0,
SUMIFS(Archive!$C:$C,Archive!$B:$B,$A28,Archive!$I:$I,AB$24),NA()),IF(
SUMIFS(Archive!$C:$C,Archive!$B:$B,$A28,Archive!$I:$I,AB$24,Archive!$J:$J,_xlfn.XLOOKUP($S$1,Lists!$B:$B,Lists!$A:$A))&gt;0,
SUMIFS(Archive!$C:$C,Archive!$B:$B,$A28,Archive!$I:$I,AB$24,Archive!$J:$J,_xlfn.XLOOKUP($S$1,Lists!$B:$B,Lists!$A:$A)),NA()))</f>
        <v>#N/A</v>
      </c>
      <c r="AC28" t="e">
        <f>IF($S$1=10,IF(
SUMIFS(Archive!$C:$C,Archive!$B:$B,$A28,Archive!$I:$I,AC$24)&gt;0,
SUMIFS(Archive!$C:$C,Archive!$B:$B,$A28,Archive!$I:$I,AC$24),NA()),IF(
SUMIFS(Archive!$C:$C,Archive!$B:$B,$A28,Archive!$I:$I,AC$24,Archive!$J:$J,_xlfn.XLOOKUP($S$1,Lists!$B:$B,Lists!$A:$A))&gt;0,
SUMIFS(Archive!$C:$C,Archive!$B:$B,$A28,Archive!$I:$I,AC$24,Archive!$J:$J,_xlfn.XLOOKUP($S$1,Lists!$B:$B,Lists!$A:$A)),NA()))</f>
        <v>#N/A</v>
      </c>
      <c r="AD28" t="e">
        <f>IF($S$1=10,IF(
SUMIFS(Archive!$C:$C,Archive!$B:$B,$A28,Archive!$I:$I,AD$24)&gt;0,
SUMIFS(Archive!$C:$C,Archive!$B:$B,$A28,Archive!$I:$I,AD$24),NA()),IF(
SUMIFS(Archive!$C:$C,Archive!$B:$B,$A28,Archive!$I:$I,AD$24,Archive!$J:$J,_xlfn.XLOOKUP($S$1,Lists!$B:$B,Lists!$A:$A))&gt;0,
SUMIFS(Archive!$C:$C,Archive!$B:$B,$A28,Archive!$I:$I,AD$24,Archive!$J:$J,_xlfn.XLOOKUP($S$1,Lists!$B:$B,Lists!$A:$A)),NA()))</f>
        <v>#N/A</v>
      </c>
      <c r="AE28" t="e">
        <f>IF($S$1=10,IF(
SUMIFS(Archive!$C:$C,Archive!$B:$B,$A28,Archive!$I:$I,AE$24)&gt;0,
SUMIFS(Archive!$C:$C,Archive!$B:$B,$A28,Archive!$I:$I,AE$24),NA()),IF(
SUMIFS(Archive!$C:$C,Archive!$B:$B,$A28,Archive!$I:$I,AE$24,Archive!$J:$J,_xlfn.XLOOKUP($S$1,Lists!$B:$B,Lists!$A:$A))&gt;0,
SUMIFS(Archive!$C:$C,Archive!$B:$B,$A28,Archive!$I:$I,AE$24,Archive!$J:$J,_xlfn.XLOOKUP($S$1,Lists!$B:$B,Lists!$A:$A)),NA()))</f>
        <v>#N/A</v>
      </c>
      <c r="AF28" t="e">
        <f>IF($S$1=10,IF(
SUMIFS(Archive!$C:$C,Archive!$B:$B,$A28,Archive!$I:$I,AF$24)&gt;0,
SUMIFS(Archive!$C:$C,Archive!$B:$B,$A28,Archive!$I:$I,AF$24),NA()),IF(
SUMIFS(Archive!$C:$C,Archive!$B:$B,$A28,Archive!$I:$I,AF$24,Archive!$J:$J,_xlfn.XLOOKUP($S$1,Lists!$B:$B,Lists!$A:$A))&gt;0,
SUMIFS(Archive!$C:$C,Archive!$B:$B,$A28,Archive!$I:$I,AF$24,Archive!$J:$J,_xlfn.XLOOKUP($S$1,Lists!$B:$B,Lists!$A:$A)),NA()))</f>
        <v>#N/A</v>
      </c>
      <c r="AG28" t="e">
        <f>IF($S$1=10,IF(
SUMIFS(Archive!$C:$C,Archive!$B:$B,$A28,Archive!$I:$I,AG$24)&gt;0,
SUMIFS(Archive!$C:$C,Archive!$B:$B,$A28,Archive!$I:$I,AG$24),NA()),IF(
SUMIFS(Archive!$C:$C,Archive!$B:$B,$A28,Archive!$I:$I,AG$24,Archive!$J:$J,_xlfn.XLOOKUP($S$1,Lists!$B:$B,Lists!$A:$A))&gt;0,
SUMIFS(Archive!$C:$C,Archive!$B:$B,$A28,Archive!$I:$I,AG$24,Archive!$J:$J,_xlfn.XLOOKUP($S$1,Lists!$B:$B,Lists!$A:$A)),NA()))</f>
        <v>#N/A</v>
      </c>
      <c r="AH28" t="e">
        <f>IF($S$1=10,IF(
SUMIFS(Archive!$C:$C,Archive!$B:$B,$A28,Archive!$I:$I,AH$24)&gt;0,
SUMIFS(Archive!$C:$C,Archive!$B:$B,$A28,Archive!$I:$I,AH$24),NA()),IF(
SUMIFS(Archive!$C:$C,Archive!$B:$B,$A28,Archive!$I:$I,AH$24,Archive!$J:$J,_xlfn.XLOOKUP($S$1,Lists!$B:$B,Lists!$A:$A))&gt;0,
SUMIFS(Archive!$C:$C,Archive!$B:$B,$A28,Archive!$I:$I,AH$24,Archive!$J:$J,_xlfn.XLOOKUP($S$1,Lists!$B:$B,Lists!$A:$A)),NA()))</f>
        <v>#N/A</v>
      </c>
      <c r="AI28" t="e">
        <f>IF($S$1=10,IF(
SUMIFS(Archive!$C:$C,Archive!$B:$B,$A28,Archive!$I:$I,AI$24)&gt;0,
SUMIFS(Archive!$C:$C,Archive!$B:$B,$A28,Archive!$I:$I,AI$24),NA()),IF(
SUMIFS(Archive!$C:$C,Archive!$B:$B,$A28,Archive!$I:$I,AI$24,Archive!$J:$J,_xlfn.XLOOKUP($S$1,Lists!$B:$B,Lists!$A:$A))&gt;0,
SUMIFS(Archive!$C:$C,Archive!$B:$B,$A28,Archive!$I:$I,AI$24,Archive!$J:$J,_xlfn.XLOOKUP($S$1,Lists!$B:$B,Lists!$A:$A)),NA()))</f>
        <v>#N/A</v>
      </c>
      <c r="AJ28" t="e">
        <f>IF($S$1=10,IF(
SUMIFS(Archive!$C:$C,Archive!$B:$B,$A28,Archive!$I:$I,AJ$24)&gt;0,
SUMIFS(Archive!$C:$C,Archive!$B:$B,$A28,Archive!$I:$I,AJ$24),NA()),IF(
SUMIFS(Archive!$C:$C,Archive!$B:$B,$A28,Archive!$I:$I,AJ$24,Archive!$J:$J,_xlfn.XLOOKUP($S$1,Lists!$B:$B,Lists!$A:$A))&gt;0,
SUMIFS(Archive!$C:$C,Archive!$B:$B,$A28,Archive!$I:$I,AJ$24,Archive!$J:$J,_xlfn.XLOOKUP($S$1,Lists!$B:$B,Lists!$A:$A)),NA()))</f>
        <v>#N/A</v>
      </c>
      <c r="AK28" t="e">
        <f>IF($S$1=10,IF(
SUMIFS(Archive!$C:$C,Archive!$B:$B,$A28,Archive!$I:$I,AK$24)&gt;0,
SUMIFS(Archive!$C:$C,Archive!$B:$B,$A28,Archive!$I:$I,AK$24),NA()),IF(
SUMIFS(Archive!$C:$C,Archive!$B:$B,$A28,Archive!$I:$I,AK$24,Archive!$J:$J,_xlfn.XLOOKUP($S$1,Lists!$B:$B,Lists!$A:$A))&gt;0,
SUMIFS(Archive!$C:$C,Archive!$B:$B,$A28,Archive!$I:$I,AK$24,Archive!$J:$J,_xlfn.XLOOKUP($S$1,Lists!$B:$B,Lists!$A:$A)),NA()))</f>
        <v>#N/A</v>
      </c>
      <c r="AL28" t="e">
        <f>IF($S$1=10,IF(
SUMIFS(Archive!$C:$C,Archive!$B:$B,$A28,Archive!$I:$I,AL$24)&gt;0,
SUMIFS(Archive!$C:$C,Archive!$B:$B,$A28,Archive!$I:$I,AL$24),NA()),IF(
SUMIFS(Archive!$C:$C,Archive!$B:$B,$A28,Archive!$I:$I,AL$24,Archive!$J:$J,_xlfn.XLOOKUP($S$1,Lists!$B:$B,Lists!$A:$A))&gt;0,
SUMIFS(Archive!$C:$C,Archive!$B:$B,$A28,Archive!$I:$I,AL$24,Archive!$J:$J,_xlfn.XLOOKUP($S$1,Lists!$B:$B,Lists!$A:$A)),NA()))</f>
        <v>#N/A</v>
      </c>
      <c r="AM28" t="e">
        <f>IF($S$1=10,IF(
SUMIFS(Archive!$C:$C,Archive!$B:$B,$A28,Archive!$I:$I,AM$24)&gt;0,
SUMIFS(Archive!$C:$C,Archive!$B:$B,$A28,Archive!$I:$I,AM$24),NA()),IF(
SUMIFS(Archive!$C:$C,Archive!$B:$B,$A28,Archive!$I:$I,AM$24,Archive!$J:$J,_xlfn.XLOOKUP($S$1,Lists!$B:$B,Lists!$A:$A))&gt;0,
SUMIFS(Archive!$C:$C,Archive!$B:$B,$A28,Archive!$I:$I,AM$24,Archive!$J:$J,_xlfn.XLOOKUP($S$1,Lists!$B:$B,Lists!$A:$A)),NA()))</f>
        <v>#N/A</v>
      </c>
      <c r="AN28" t="e">
        <f>IF($S$1=10,IF(
SUMIFS(Archive!$C:$C,Archive!$B:$B,$A28,Archive!$I:$I,AN$24)&gt;0,
SUMIFS(Archive!$C:$C,Archive!$B:$B,$A28,Archive!$I:$I,AN$24),NA()),IF(
SUMIFS(Archive!$C:$C,Archive!$B:$B,$A28,Archive!$I:$I,AN$24,Archive!$J:$J,_xlfn.XLOOKUP($S$1,Lists!$B:$B,Lists!$A:$A))&gt;0,
SUMIFS(Archive!$C:$C,Archive!$B:$B,$A28,Archive!$I:$I,AN$24,Archive!$J:$J,_xlfn.XLOOKUP($S$1,Lists!$B:$B,Lists!$A:$A)),NA()))</f>
        <v>#N/A</v>
      </c>
      <c r="AO28" t="e">
        <f>IF($S$1=10,IF(
SUMIFS(Archive!$C:$C,Archive!$B:$B,$A28,Archive!$I:$I,AO$24)&gt;0,
SUMIFS(Archive!$C:$C,Archive!$B:$B,$A28,Archive!$I:$I,AO$24),NA()),IF(
SUMIFS(Archive!$C:$C,Archive!$B:$B,$A28,Archive!$I:$I,AO$24,Archive!$J:$J,_xlfn.XLOOKUP($S$1,Lists!$B:$B,Lists!$A:$A))&gt;0,
SUMIFS(Archive!$C:$C,Archive!$B:$B,$A28,Archive!$I:$I,AO$24,Archive!$J:$J,_xlfn.XLOOKUP($S$1,Lists!$B:$B,Lists!$A:$A)),NA()))</f>
        <v>#N/A</v>
      </c>
      <c r="AP28" t="e">
        <f>IF($S$1=10,IF(
SUMIFS(Archive!$C:$C,Archive!$B:$B,$A28,Archive!$I:$I,AP$24)&gt;0,
SUMIFS(Archive!$C:$C,Archive!$B:$B,$A28,Archive!$I:$I,AP$24),NA()),IF(
SUMIFS(Archive!$C:$C,Archive!$B:$B,$A28,Archive!$I:$I,AP$24,Archive!$J:$J,_xlfn.XLOOKUP($S$1,Lists!$B:$B,Lists!$A:$A))&gt;0,
SUMIFS(Archive!$C:$C,Archive!$B:$B,$A28,Archive!$I:$I,AP$24,Archive!$J:$J,_xlfn.XLOOKUP($S$1,Lists!$B:$B,Lists!$A:$A)),NA()))</f>
        <v>#N/A</v>
      </c>
      <c r="AQ28" t="e">
        <f>IF($S$1=10,IF(
SUMIFS(Archive!$C:$C,Archive!$B:$B,$A28,Archive!$I:$I,AQ$24)&gt;0,
SUMIFS(Archive!$C:$C,Archive!$B:$B,$A28,Archive!$I:$I,AQ$24),NA()),IF(
SUMIFS(Archive!$C:$C,Archive!$B:$B,$A28,Archive!$I:$I,AQ$24,Archive!$J:$J,_xlfn.XLOOKUP($S$1,Lists!$B:$B,Lists!$A:$A))&gt;0,
SUMIFS(Archive!$C:$C,Archive!$B:$B,$A28,Archive!$I:$I,AQ$24,Archive!$J:$J,_xlfn.XLOOKUP($S$1,Lists!$B:$B,Lists!$A:$A)),NA()))</f>
        <v>#N/A</v>
      </c>
      <c r="AR28" t="e">
        <f>IF($S$1=10,IF(
SUMIFS(Archive!$C:$C,Archive!$B:$B,$A28,Archive!$I:$I,AR$24)&gt;0,
SUMIFS(Archive!$C:$C,Archive!$B:$B,$A28,Archive!$I:$I,AR$24),NA()),IF(
SUMIFS(Archive!$C:$C,Archive!$B:$B,$A28,Archive!$I:$I,AR$24,Archive!$J:$J,_xlfn.XLOOKUP($S$1,Lists!$B:$B,Lists!$A:$A))&gt;0,
SUMIFS(Archive!$C:$C,Archive!$B:$B,$A28,Archive!$I:$I,AR$24,Archive!$J:$J,_xlfn.XLOOKUP($S$1,Lists!$B:$B,Lists!$A:$A)),NA()))</f>
        <v>#N/A</v>
      </c>
      <c r="AS28" t="e">
        <f>IF($S$1=10,IF(
SUMIFS(Archive!$C:$C,Archive!$B:$B,$A28,Archive!$I:$I,AS$24)&gt;0,
SUMIFS(Archive!$C:$C,Archive!$B:$B,$A28,Archive!$I:$I,AS$24),NA()),IF(
SUMIFS(Archive!$C:$C,Archive!$B:$B,$A28,Archive!$I:$I,AS$24,Archive!$J:$J,_xlfn.XLOOKUP($S$1,Lists!$B:$B,Lists!$A:$A))&gt;0,
SUMIFS(Archive!$C:$C,Archive!$B:$B,$A28,Archive!$I:$I,AS$24,Archive!$J:$J,_xlfn.XLOOKUP($S$1,Lists!$B:$B,Lists!$A:$A)),NA()))</f>
        <v>#N/A</v>
      </c>
      <c r="AT28" t="e">
        <f>IF($S$1=10,IF(
SUMIFS(Archive!$C:$C,Archive!$B:$B,$A28,Archive!$I:$I,AT$24)&gt;0,
SUMIFS(Archive!$C:$C,Archive!$B:$B,$A28,Archive!$I:$I,AT$24),NA()),IF(
SUMIFS(Archive!$C:$C,Archive!$B:$B,$A28,Archive!$I:$I,AT$24,Archive!$J:$J,_xlfn.XLOOKUP($S$1,Lists!$B:$B,Lists!$A:$A))&gt;0,
SUMIFS(Archive!$C:$C,Archive!$B:$B,$A28,Archive!$I:$I,AT$24,Archive!$J:$J,_xlfn.XLOOKUP($S$1,Lists!$B:$B,Lists!$A:$A)),NA()))</f>
        <v>#N/A</v>
      </c>
      <c r="AU28" t="e">
        <f>IF($S$1=10,IF(
SUMIFS(Archive!$C:$C,Archive!$B:$B,$A28,Archive!$I:$I,AU$24)&gt;0,
SUMIFS(Archive!$C:$C,Archive!$B:$B,$A28,Archive!$I:$I,AU$24),NA()),IF(
SUMIFS(Archive!$C:$C,Archive!$B:$B,$A28,Archive!$I:$I,AU$24,Archive!$J:$J,_xlfn.XLOOKUP($S$1,Lists!$B:$B,Lists!$A:$A))&gt;0,
SUMIFS(Archive!$C:$C,Archive!$B:$B,$A28,Archive!$I:$I,AU$24,Archive!$J:$J,_xlfn.XLOOKUP($S$1,Lists!$B:$B,Lists!$A:$A)),NA()))</f>
        <v>#N/A</v>
      </c>
      <c r="AV28" t="e">
        <f>IF($S$1=10,IF(
SUMIFS(Archive!$C:$C,Archive!$B:$B,$A28,Archive!$I:$I,AV$24)&gt;0,
SUMIFS(Archive!$C:$C,Archive!$B:$B,$A28,Archive!$I:$I,AV$24),NA()),IF(
SUMIFS(Archive!$C:$C,Archive!$B:$B,$A28,Archive!$I:$I,AV$24,Archive!$J:$J,_xlfn.XLOOKUP($S$1,Lists!$B:$B,Lists!$A:$A))&gt;0,
SUMIFS(Archive!$C:$C,Archive!$B:$B,$A28,Archive!$I:$I,AV$24,Archive!$J:$J,_xlfn.XLOOKUP($S$1,Lists!$B:$B,Lists!$A:$A)),NA()))</f>
        <v>#N/A</v>
      </c>
      <c r="AW28" t="e">
        <f>IF($S$1=10,IF(
SUMIFS(Archive!$C:$C,Archive!$B:$B,$A28,Archive!$I:$I,AW$24)&gt;0,
SUMIFS(Archive!$C:$C,Archive!$B:$B,$A28,Archive!$I:$I,AW$24),NA()),IF(
SUMIFS(Archive!$C:$C,Archive!$B:$B,$A28,Archive!$I:$I,AW$24,Archive!$J:$J,_xlfn.XLOOKUP($S$1,Lists!$B:$B,Lists!$A:$A))&gt;0,
SUMIFS(Archive!$C:$C,Archive!$B:$B,$A28,Archive!$I:$I,AW$24,Archive!$J:$J,_xlfn.XLOOKUP($S$1,Lists!$B:$B,Lists!$A:$A)),NA()))</f>
        <v>#N/A</v>
      </c>
      <c r="AX28" t="e">
        <f>IF($S$1=10,IF(
SUMIFS(Archive!$C:$C,Archive!$B:$B,$A28,Archive!$I:$I,AX$24)&gt;0,
SUMIFS(Archive!$C:$C,Archive!$B:$B,$A28,Archive!$I:$I,AX$24),NA()),IF(
SUMIFS(Archive!$C:$C,Archive!$B:$B,$A28,Archive!$I:$I,AX$24,Archive!$J:$J,_xlfn.XLOOKUP($S$1,Lists!$B:$B,Lists!$A:$A))&gt;0,
SUMIFS(Archive!$C:$C,Archive!$B:$B,$A28,Archive!$I:$I,AX$24,Archive!$J:$J,_xlfn.XLOOKUP($S$1,Lists!$B:$B,Lists!$A:$A)),NA()))</f>
        <v>#N/A</v>
      </c>
      <c r="AY28" t="e">
        <f>IF($S$1=10,IF(
SUMIFS(Archive!$C:$C,Archive!$B:$B,$A28,Archive!$I:$I,AY$24)&gt;0,
SUMIFS(Archive!$C:$C,Archive!$B:$B,$A28,Archive!$I:$I,AY$24),NA()),IF(
SUMIFS(Archive!$C:$C,Archive!$B:$B,$A28,Archive!$I:$I,AY$24,Archive!$J:$J,_xlfn.XLOOKUP($S$1,Lists!$B:$B,Lists!$A:$A))&gt;0,
SUMIFS(Archive!$C:$C,Archive!$B:$B,$A28,Archive!$I:$I,AY$24,Archive!$J:$J,_xlfn.XLOOKUP($S$1,Lists!$B:$B,Lists!$A:$A)),NA()))</f>
        <v>#N/A</v>
      </c>
      <c r="AZ28" t="e">
        <f>IF($S$1=10,IF(
SUMIFS(Archive!$C:$C,Archive!$B:$B,$A28,Archive!$I:$I,AZ$24)&gt;0,
SUMIFS(Archive!$C:$C,Archive!$B:$B,$A28,Archive!$I:$I,AZ$24),NA()),IF(
SUMIFS(Archive!$C:$C,Archive!$B:$B,$A28,Archive!$I:$I,AZ$24,Archive!$J:$J,_xlfn.XLOOKUP($S$1,Lists!$B:$B,Lists!$A:$A))&gt;0,
SUMIFS(Archive!$C:$C,Archive!$B:$B,$A28,Archive!$I:$I,AZ$24,Archive!$J:$J,_xlfn.XLOOKUP($S$1,Lists!$B:$B,Lists!$A:$A)),NA()))</f>
        <v>#N/A</v>
      </c>
    </row>
    <row r="30" spans="1:52" ht="15" customHeight="1"/>
    <row r="31" spans="1:52" ht="15" customHeight="1"/>
    <row r="32" spans="1:52" ht="15" customHeight="1"/>
  </sheetData>
  <mergeCells count="3">
    <mergeCell ref="A6:N6"/>
    <mergeCell ref="A7:N7"/>
    <mergeCell ref="A8:N8"/>
  </mergeCells>
  <pageMargins left="0.7" right="0.7" top="0.75" bottom="0.75" header="0.3" footer="0.3"/>
  <pageSetup paperSize="9" scale="90" orientation="landscape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5" name="Option Button 6">
              <controlPr defaultSize="0" autoFill="0" autoLine="0" autoPict="0">
                <anchor moveWithCells="1">
                  <from>
                    <xdr:col>16</xdr:col>
                    <xdr:colOff>561975</xdr:colOff>
                    <xdr:row>7</xdr:row>
                    <xdr:rowOff>66675</xdr:rowOff>
                  </from>
                  <to>
                    <xdr:col>19</xdr:col>
                    <xdr:colOff>571500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Lists</vt:lpstr>
      <vt:lpstr>Input</vt:lpstr>
      <vt:lpstr>Archive</vt:lpstr>
      <vt:lpstr>Data_History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sahr sackor</dc:creator>
  <cp:lastModifiedBy>cvdsv sd cdsrv</cp:lastModifiedBy>
  <cp:lastPrinted>2025-01-14T10:28:51Z</cp:lastPrinted>
  <dcterms:created xsi:type="dcterms:W3CDTF">2024-11-05T22:10:09Z</dcterms:created>
  <dcterms:modified xsi:type="dcterms:W3CDTF">2025-01-15T08:42:00Z</dcterms:modified>
</cp:coreProperties>
</file>