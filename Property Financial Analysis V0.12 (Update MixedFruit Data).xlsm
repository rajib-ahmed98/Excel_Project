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G:\.shortcut-targets-by-id\1-4Xe7Z4Xq8SnKX4snWQi7yshyb96ImQT\Combine Work\Maisha\Property_Financial_Analysis\"/>
    </mc:Choice>
  </mc:AlternateContent>
  <xr:revisionPtr revIDLastSave="0" documentId="13_ncr:1_{4556668A-B232-4510-801F-3F7F8ED3CB9F}" xr6:coauthVersionLast="47" xr6:coauthVersionMax="47" xr10:uidLastSave="{00000000-0000-0000-0000-000000000000}"/>
  <bookViews>
    <workbookView xWindow="-120" yWindow="-120" windowWidth="29040" windowHeight="15720" tabRatio="921" xr2:uid="{B49F667F-118F-4776-AECE-6962CFF6ED6F}"/>
  </bookViews>
  <sheets>
    <sheet name="Dashboard" sheetId="10" r:id="rId1"/>
    <sheet name="History_Summary" sheetId="15" r:id="rId2"/>
    <sheet name="Pivot" sheetId="11" r:id="rId3"/>
    <sheet name="MixedFruit" sheetId="1" r:id="rId4"/>
    <sheet name="History Of MixedFruit" sheetId="14" r:id="rId5"/>
  </sheets>
  <functionGroups builtInGroupCount="19"/>
  <definedNames>
    <definedName name="_xlnm._FilterDatabase" localSheetId="4" hidden="1">'History Of MixedFruit'!$A$3:$F$41</definedName>
    <definedName name="_xlnm._FilterDatabase" localSheetId="3" hidden="1">MixedFruit!$A$1:$N$79</definedName>
    <definedName name="_xlnm.Print_Area" localSheetId="0">Dashboard!$A$1:$X$32</definedName>
    <definedName name="Slicer_Check">#N/A</definedName>
    <definedName name="Slicer_Company___Name">#N/A</definedName>
    <definedName name="Slicer_Property_name_Asset_Class">#N/A</definedName>
    <definedName name="Slicer_Year">#N/A</definedName>
  </definedNames>
  <calcPr calcId="191029"/>
  <pivotCaches>
    <pivotCache cacheId="16"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7" i="1" l="1"/>
  <c r="O38" i="1"/>
  <c r="O39" i="1"/>
  <c r="O40" i="1"/>
  <c r="O41" i="1"/>
  <c r="O42" i="1"/>
  <c r="O43" i="1"/>
  <c r="O44" i="1"/>
  <c r="O45" i="1"/>
  <c r="O46" i="1"/>
  <c r="O47" i="1"/>
  <c r="O2" i="1"/>
  <c r="O3" i="1"/>
  <c r="O4" i="1"/>
  <c r="O5" i="1"/>
  <c r="O6" i="1"/>
  <c r="O7" i="1"/>
  <c r="O8" i="1"/>
  <c r="O9" i="1"/>
  <c r="O10" i="1"/>
  <c r="O11" i="1"/>
  <c r="O12" i="1"/>
  <c r="O13" i="1"/>
  <c r="O14" i="1"/>
  <c r="O15" i="1"/>
  <c r="O36" i="1"/>
  <c r="O59" i="1"/>
  <c r="O60" i="1"/>
  <c r="O61" i="1"/>
  <c r="O62" i="1"/>
  <c r="O63" i="1"/>
  <c r="O64" i="1"/>
  <c r="O65" i="1"/>
  <c r="O66" i="1"/>
  <c r="O67" i="1"/>
  <c r="O68" i="1"/>
  <c r="O69" i="1"/>
  <c r="O70" i="1"/>
  <c r="O71" i="1"/>
  <c r="O76" i="1"/>
  <c r="O77" i="1"/>
  <c r="O78" i="1"/>
  <c r="O79" i="1"/>
  <c r="O72" i="1"/>
  <c r="AC38" i="11"/>
  <c r="AC39" i="11"/>
  <c r="AC40" i="11"/>
  <c r="AC41" i="11"/>
  <c r="O16" i="1"/>
  <c r="O17" i="1"/>
  <c r="O18" i="1"/>
  <c r="O19" i="1"/>
  <c r="O20" i="1"/>
  <c r="O21" i="1"/>
  <c r="O22" i="1"/>
  <c r="O23" i="1"/>
  <c r="O24" i="1"/>
  <c r="O25" i="1"/>
  <c r="O26" i="1"/>
  <c r="O27" i="1"/>
  <c r="O28" i="1"/>
  <c r="O29" i="1"/>
  <c r="O30" i="1"/>
  <c r="O31" i="1"/>
  <c r="O32" i="1"/>
  <c r="O33" i="1"/>
  <c r="O34" i="1"/>
  <c r="O35" i="1"/>
  <c r="O48" i="1"/>
  <c r="O49" i="1"/>
  <c r="O50" i="1"/>
  <c r="O51" i="1"/>
  <c r="O52" i="1"/>
  <c r="O53" i="1"/>
  <c r="O54" i="1"/>
  <c r="O55" i="1"/>
  <c r="O56" i="1"/>
  <c r="O57" i="1"/>
  <c r="O58" i="1"/>
  <c r="O73" i="1"/>
  <c r="O74" i="1"/>
  <c r="O75" i="1"/>
  <c r="AP1" i="11" l="1"/>
  <c r="AQ1" i="11"/>
  <c r="AR1" i="11"/>
  <c r="AS1" i="11"/>
  <c r="AT1" i="11"/>
  <c r="AU1" i="11"/>
  <c r="AV1" i="11"/>
  <c r="AW1" i="11"/>
  <c r="AC42" i="11"/>
  <c r="AG1" i="11" l="1"/>
  <c r="AI1" i="11"/>
  <c r="AD1" i="11"/>
  <c r="AE1" i="11"/>
  <c r="AF1" i="11"/>
  <c r="AM1" i="11"/>
  <c r="AK1" i="11"/>
  <c r="AO1" i="11"/>
  <c r="AC1" i="11"/>
  <c r="AH1" i="11"/>
  <c r="AN1" i="11"/>
  <c r="AL1" i="11"/>
  <c r="AJ1" i="11"/>
</calcChain>
</file>

<file path=xl/sharedStrings.xml><?xml version="1.0" encoding="utf-8"?>
<sst xmlns="http://schemas.openxmlformats.org/spreadsheetml/2006/main" count="339" uniqueCount="72">
  <si>
    <t>Property name/Asset Class</t>
  </si>
  <si>
    <t>Valuation(M)</t>
  </si>
  <si>
    <t>NOI(M)</t>
  </si>
  <si>
    <t>Occupacy</t>
  </si>
  <si>
    <t>Distribution</t>
  </si>
  <si>
    <t>Net Rental Revenues (M)</t>
  </si>
  <si>
    <t>Property Valuation Trends (M)</t>
  </si>
  <si>
    <t>Year Wise Wault</t>
  </si>
  <si>
    <t>Wault Percentage</t>
  </si>
  <si>
    <t>Year</t>
  </si>
  <si>
    <t>Rent Contributor</t>
  </si>
  <si>
    <t>Contributor Value</t>
  </si>
  <si>
    <t>UKV - Canterbury-Q4 2023 Factsheet</t>
  </si>
  <si>
    <t xml:space="preserve">UKV - I-Q4 2023 Factsheet
</t>
  </si>
  <si>
    <t>Retail Park</t>
  </si>
  <si>
    <t>0 To 4 Yrs</t>
  </si>
  <si>
    <t>5 To 7 Yrs</t>
  </si>
  <si>
    <t>8 To 15 Yrs</t>
  </si>
  <si>
    <t xml:space="preserve">UKV - III-Q4 2023 Factsheet 
</t>
  </si>
  <si>
    <t xml:space="preserve">UKV - V-Q4 2023 Factsheet 
</t>
  </si>
  <si>
    <t>Warehouse</t>
  </si>
  <si>
    <t>UKV - Canterbury -Q4 2022 Factsheet</t>
  </si>
  <si>
    <t>Student Housing</t>
  </si>
  <si>
    <t>8 to 15 Yrs</t>
  </si>
  <si>
    <t>UKV - II -Q4 2022 Factsheet</t>
  </si>
  <si>
    <t>UKV - III -Q4 2022 Factsheet</t>
  </si>
  <si>
    <t>UKV - I-Q4 2022 Factsheet</t>
  </si>
  <si>
    <t>UKV - I- Q4 2022 Factsheet</t>
  </si>
  <si>
    <t>UKV IV-Q4-2022 Factsheet</t>
  </si>
  <si>
    <t>Manchester Business park &amp; 4 the Square Stockley – Offices</t>
  </si>
  <si>
    <t>HIKVision</t>
  </si>
  <si>
    <t>Emirates</t>
  </si>
  <si>
    <t>Costain</t>
  </si>
  <si>
    <t>Regus</t>
  </si>
  <si>
    <t>PZ Cussons</t>
  </si>
  <si>
    <t>Hasbro</t>
  </si>
  <si>
    <t>UKV V-Q4-2022 Factsheet</t>
  </si>
  <si>
    <t xml:space="preserve">UKV - Canterbury-December 2021 Factsheet 
</t>
  </si>
  <si>
    <t xml:space="preserve">UKV - III-December 2021 Factsheet 
</t>
  </si>
  <si>
    <t xml:space="preserve">UKV - I-December 2021 Factsheet 
</t>
  </si>
  <si>
    <t>UKV - Canterbury</t>
  </si>
  <si>
    <t>UKV - I</t>
  </si>
  <si>
    <t>UKV - III</t>
  </si>
  <si>
    <t>UKV - V</t>
  </si>
  <si>
    <t>Company - Name</t>
  </si>
  <si>
    <t>UKV - IV</t>
  </si>
  <si>
    <t>Year Range</t>
  </si>
  <si>
    <t>Grand Total</t>
  </si>
  <si>
    <t>Net Rental Revenues (million)</t>
  </si>
  <si>
    <t>Property Valuation Trends (million)</t>
  </si>
  <si>
    <t>Contributor</t>
  </si>
  <si>
    <t>Contribution Value</t>
  </si>
  <si>
    <t>Average of Occupacy</t>
  </si>
  <si>
    <t>UKV - Canterbury-Q3 2024 Factsheet</t>
  </si>
  <si>
    <t>UKV - I-Q3 2024 Factsheet</t>
  </si>
  <si>
    <t>0 To 3 Yrs</t>
  </si>
  <si>
    <t>3 To 5 Yrs</t>
  </si>
  <si>
    <t>5 To 10 Yrs</t>
  </si>
  <si>
    <t>10 To 15 Yrs</t>
  </si>
  <si>
    <t>UKV - III-Q3 2024 Factsheet</t>
  </si>
  <si>
    <t>UKV - V-Q3 2024 Factsheet</t>
  </si>
  <si>
    <t>Warehouse Distribution Centre</t>
  </si>
  <si>
    <t>UKV - II</t>
  </si>
  <si>
    <t>Average of Distribution</t>
  </si>
  <si>
    <t>Average of Wault Percentage</t>
  </si>
  <si>
    <t>Company Name (Factsheet)</t>
  </si>
  <si>
    <t>TimeStamp</t>
  </si>
  <si>
    <t>Sum of Valuation(M)</t>
  </si>
  <si>
    <t>Check</t>
  </si>
  <si>
    <t>Summary</t>
  </si>
  <si>
    <t>Column1</t>
  </si>
  <si>
    <t>Time Stamp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</si>
</sst>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F400]h:mm:ss\ AM/PM"/>
  </numFmts>
  <fonts count="10" x14ac:knownFonts="1">
    <font>
      <sz val="11"/>
      <color theme="1"/>
      <name val="Calibri"/>
      <family val="2"/>
      <scheme val="minor"/>
    </font>
    <font>
      <sz val="11"/>
      <color theme="1"/>
      <name val="Calibri"/>
      <family val="2"/>
      <scheme val="minor"/>
    </font>
    <font>
      <sz val="10"/>
      <color theme="1"/>
      <name val="Arial"/>
      <family val="2"/>
    </font>
    <font>
      <sz val="11"/>
      <color theme="1"/>
      <name val="Calibri"/>
      <family val="2"/>
    </font>
    <font>
      <sz val="11"/>
      <color theme="1"/>
      <name val="Times New Roman"/>
      <family val="1"/>
    </font>
    <font>
      <b/>
      <sz val="11"/>
      <color theme="0"/>
      <name val="Calibri"/>
      <family val="2"/>
      <scheme val="minor"/>
    </font>
    <font>
      <b/>
      <u/>
      <sz val="22"/>
      <color theme="4" tint="-0.499984740745262"/>
      <name val="Calibri"/>
      <family val="2"/>
      <scheme val="minor"/>
    </font>
    <font>
      <b/>
      <u/>
      <sz val="11"/>
      <color theme="1"/>
      <name val="Calibri"/>
      <family val="2"/>
      <scheme val="minor"/>
    </font>
    <font>
      <u val="double"/>
      <sz val="11"/>
      <color theme="1"/>
      <name val="Calibri"/>
      <family val="2"/>
      <scheme val="minor"/>
    </font>
    <font>
      <sz val="8"/>
      <name val="Calibri"/>
      <family val="2"/>
      <scheme val="minor"/>
    </font>
  </fonts>
  <fills count="5">
    <fill>
      <patternFill patternType="none"/>
    </fill>
    <fill>
      <patternFill patternType="gray125"/>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theme="4"/>
        <bgColor theme="4"/>
      </patternFill>
    </fill>
  </fills>
  <borders count="16">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style="medium">
        <color rgb="FFCCCCCC"/>
      </bottom>
      <diagonal/>
    </border>
    <border>
      <left style="medium">
        <color rgb="FFCCCCCC"/>
      </left>
      <right style="medium">
        <color rgb="FFCCCCCC"/>
      </right>
      <top style="medium">
        <color rgb="FFCCCCCC"/>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theme="4" tint="0.39997558519241921"/>
      </left>
      <right/>
      <top style="thin">
        <color indexed="64"/>
      </top>
      <bottom style="thin">
        <color theme="4" tint="0.39997558519241921"/>
      </bottom>
      <diagonal/>
    </border>
    <border>
      <left/>
      <right/>
      <top style="thin">
        <color indexed="64"/>
      </top>
      <bottom style="thin">
        <color theme="4" tint="0.39997558519241921"/>
      </bottom>
      <diagonal/>
    </border>
  </borders>
  <cellStyleXfs count="2">
    <xf numFmtId="0" fontId="0" fillId="0" borderId="0"/>
    <xf numFmtId="9" fontId="1" fillId="0" borderId="0" applyFont="0" applyFill="0" applyBorder="0" applyAlignment="0" applyProtection="0"/>
  </cellStyleXfs>
  <cellXfs count="37">
    <xf numFmtId="0" fontId="0" fillId="0" borderId="0" xfId="0"/>
    <xf numFmtId="0" fontId="2" fillId="0" borderId="1" xfId="0" applyFont="1" applyBorder="1" applyAlignment="1">
      <alignment wrapText="1"/>
    </xf>
    <xf numFmtId="0" fontId="0" fillId="0" borderId="0" xfId="0" applyAlignment="1">
      <alignment wrapText="1"/>
    </xf>
    <xf numFmtId="0" fontId="2" fillId="0" borderId="1" xfId="0" applyFont="1" applyBorder="1" applyAlignment="1">
      <alignment horizontal="right" wrapText="1"/>
    </xf>
    <xf numFmtId="9" fontId="0" fillId="0" borderId="0" xfId="0" applyNumberFormat="1"/>
    <xf numFmtId="9" fontId="2" fillId="0" borderId="1" xfId="0" applyNumberFormat="1" applyFont="1" applyBorder="1" applyAlignment="1">
      <alignment horizontal="right" wrapText="1"/>
    </xf>
    <xf numFmtId="10" fontId="0" fillId="0" borderId="0" xfId="0" applyNumberFormat="1"/>
    <xf numFmtId="10" fontId="2" fillId="0" borderId="1" xfId="0" applyNumberFormat="1" applyFont="1" applyBorder="1" applyAlignment="1">
      <alignment horizontal="right" wrapText="1"/>
    </xf>
    <xf numFmtId="0" fontId="3" fillId="0" borderId="1" xfId="0" applyFont="1" applyBorder="1" applyAlignment="1">
      <alignment wrapText="1"/>
    </xf>
    <xf numFmtId="9" fontId="3" fillId="0" borderId="1" xfId="0" applyNumberFormat="1" applyFont="1" applyBorder="1" applyAlignment="1">
      <alignment horizontal="right" wrapText="1"/>
    </xf>
    <xf numFmtId="9" fontId="0" fillId="0" borderId="0" xfId="1" applyFont="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4" fillId="0" borderId="1" xfId="0" applyFont="1" applyBorder="1" applyAlignment="1">
      <alignment wrapText="1"/>
    </xf>
    <xf numFmtId="22" fontId="0" fillId="0" borderId="0" xfId="0" applyNumberFormat="1"/>
    <xf numFmtId="0" fontId="2" fillId="0" borderId="2" xfId="0" applyFont="1" applyBorder="1" applyAlignment="1">
      <alignment wrapText="1"/>
    </xf>
    <xf numFmtId="0" fontId="2" fillId="0" borderId="3" xfId="0" applyFont="1" applyBorder="1" applyAlignment="1">
      <alignment wrapText="1"/>
    </xf>
    <xf numFmtId="0" fontId="0" fillId="2" borderId="4" xfId="0" applyFill="1" applyBorder="1"/>
    <xf numFmtId="0" fontId="0" fillId="2" borderId="5" xfId="0" applyFill="1" applyBorder="1"/>
    <xf numFmtId="0" fontId="0" fillId="2" borderId="6" xfId="0" applyFill="1" applyBorder="1"/>
    <xf numFmtId="0" fontId="8" fillId="0" borderId="0" xfId="0" applyFont="1"/>
    <xf numFmtId="0" fontId="5" fillId="0" borderId="12" xfId="0" applyFont="1" applyBorder="1"/>
    <xf numFmtId="165" fontId="0" fillId="0" borderId="0" xfId="0" applyNumberFormat="1"/>
    <xf numFmtId="0" fontId="5" fillId="4" borderId="13" xfId="0" applyFont="1" applyFill="1" applyBorder="1"/>
    <xf numFmtId="22" fontId="0" fillId="3" borderId="14" xfId="0" applyNumberFormat="1" applyFont="1" applyFill="1" applyBorder="1"/>
    <xf numFmtId="0" fontId="0" fillId="3" borderId="15" xfId="0" applyFont="1" applyFill="1" applyBorder="1"/>
    <xf numFmtId="0" fontId="6" fillId="2" borderId="7" xfId="0" applyFont="1" applyFill="1" applyBorder="1" applyAlignment="1">
      <alignment horizontal="center"/>
    </xf>
    <xf numFmtId="0" fontId="7" fillId="2" borderId="0" xfId="0" applyFont="1" applyFill="1" applyAlignment="1">
      <alignment horizontal="center"/>
    </xf>
    <xf numFmtId="0" fontId="7" fillId="2" borderId="8" xfId="0" applyFont="1" applyFill="1" applyBorder="1" applyAlignment="1">
      <alignment horizontal="center"/>
    </xf>
    <xf numFmtId="0" fontId="0" fillId="2" borderId="7" xfId="0" applyFill="1" applyBorder="1" applyAlignment="1">
      <alignment horizontal="center"/>
    </xf>
    <xf numFmtId="0" fontId="0" fillId="2" borderId="0" xfId="0" applyFill="1" applyBorder="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0" fillId="2" borderId="10" xfId="0" applyFill="1" applyBorder="1" applyAlignment="1">
      <alignment horizontal="center"/>
    </xf>
    <xf numFmtId="0" fontId="0" fillId="2" borderId="11" xfId="0" applyFill="1" applyBorder="1" applyAlignment="1">
      <alignment horizontal="center"/>
    </xf>
  </cellXfs>
  <cellStyles count="2">
    <cellStyle name="Normal" xfId="0" builtinId="0"/>
    <cellStyle name="Percent" xfId="1" builtinId="5"/>
  </cellStyles>
  <dxfs count="18">
    <dxf>
      <font>
        <b val="0"/>
        <i val="0"/>
        <strike val="0"/>
        <condense val="0"/>
        <extend val="0"/>
        <outline val="0"/>
        <shadow val="0"/>
        <u val="none"/>
        <vertAlign val="baseline"/>
        <sz val="10"/>
        <color theme="1"/>
        <name val="Arial"/>
        <family val="2"/>
        <scheme val="none"/>
      </font>
      <numFmt numFmtId="0" formatCode="General"/>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1"/>
        <color theme="1"/>
        <name val="Times New Roman"/>
        <family val="1"/>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1"/>
        <color theme="1"/>
        <name val="Calibri"/>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numFmt numFmtId="164" formatCode="0.0%"/>
    </dxf>
    <dxf>
      <numFmt numFmtId="166" formatCode=";;;"/>
    </dxf>
    <dxf>
      <font>
        <b/>
        <color theme="1"/>
      </font>
      <border>
        <bottom style="thin">
          <color theme="4"/>
        </bottom>
        <vertical/>
        <horizontal/>
      </border>
    </dxf>
    <dxf>
      <font>
        <b/>
        <i val="0"/>
        <sz val="11"/>
        <color theme="1"/>
        <name val="Calibri"/>
        <family val="2"/>
        <scheme val="minor"/>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Light1 2" pivot="0" table="0" count="10" xr9:uid="{6D59D713-76F1-4175-BC7C-9BEE81930D61}">
      <tableStyleElement type="wholeTable" dxfId="17"/>
      <tableStyleElement type="headerRow" dxfId="16"/>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[Property Financial Analysis V0.12 (Update MixedFruit Data).xlsm]Pivot!Valuation</c:name>
    <c:fmtId val="6"/>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Valution </a:t>
            </a:r>
            <a:r>
              <a:rPr lang="en-US" sz="1400" b="1" i="0" u="none" strike="noStrike" baseline="0">
                <a:effectLst/>
              </a:rPr>
              <a:t>(million)</a:t>
            </a:r>
            <a:r>
              <a:rPr lang="en-US" b="1">
                <a:solidFill>
                  <a:schemeClr val="tx1"/>
                </a:solidFill>
              </a:rPr>
              <a:t> By Year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0"/>
              <c:y val="-4.166666666666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6.3326844723830014E-17"/>
              <c:y val="-2.380952380952380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dLbl>
          <c:idx val="0"/>
          <c:layout>
            <c:manualLayout>
              <c:x val="0"/>
              <c:y val="-1.2016097786436097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0199C8B-5007-4F5D-9094-2F99DBDBB91A}" type="VALUE">
                  <a:rPr lang="en-US" b="1"/>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chemeClr val="accent1"/>
          </a:solidFill>
          <a:ln>
            <a:noFill/>
          </a:ln>
          <a:effectLst/>
          <a:sp3d/>
        </c:spPr>
        <c:dLbl>
          <c:idx val="0"/>
          <c:layout>
            <c:manualLayout>
              <c:x val="3.4274256120450444E-3"/>
              <c:y val="-1.2016097786436152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A19BABA-D4C2-4B3D-BEFD-FC80963A9798}" type="VALUE">
                  <a:rPr lang="en-US" b="1"/>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spPr>
          <a:solidFill>
            <a:schemeClr val="accent1"/>
          </a:solidFill>
          <a:ln>
            <a:noFill/>
          </a:ln>
          <a:effectLst/>
          <a:sp3d/>
        </c:spPr>
        <c:dLbl>
          <c:idx val="0"/>
          <c:layout>
            <c:manualLayout>
              <c:x val="-1.256708206816095E-16"/>
              <c:y val="-1.2016097786436097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5BB48C5-6402-421D-8E88-9526C1A6677E}" type="VALUE">
                  <a:rPr lang="en-US" b="1"/>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9"/>
        <c:spPr>
          <a:solidFill>
            <a:schemeClr val="accent1"/>
          </a:solidFill>
          <a:ln>
            <a:noFill/>
          </a:ln>
          <a:effectLst/>
          <a:sp3d/>
        </c:spPr>
        <c:dLbl>
          <c:idx val="0"/>
          <c:layout>
            <c:manualLayout>
              <c:x val="6.8548512240902137E-3"/>
              <c:y val="-1.8024146679654143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129E06E-5527-4AEF-A5EB-BADA1B724C21}" type="VALUE">
                  <a:rPr lang="en-US" b="1"/>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Pivot!$B$3</c:f>
              <c:strCache>
                <c:ptCount val="1"/>
                <c:pt idx="0">
                  <c:v>Total</c:v>
                </c:pt>
              </c:strCache>
            </c:strRef>
          </c:tx>
          <c:spPr>
            <a:solidFill>
              <a:schemeClr val="accent1"/>
            </a:solidFill>
            <a:ln>
              <a:noFill/>
            </a:ln>
            <a:effectLst/>
            <a:sp3d/>
          </c:spPr>
          <c:invertIfNegative val="0"/>
          <c:dPt>
            <c:idx val="0"/>
            <c:invertIfNegative val="0"/>
            <c:bubble3D val="0"/>
            <c:spPr>
              <a:solidFill>
                <a:schemeClr val="accent1"/>
              </a:solidFill>
              <a:ln>
                <a:noFill/>
              </a:ln>
              <a:effectLst/>
              <a:sp3d/>
            </c:spPr>
            <c:extLst>
              <c:ext xmlns:c16="http://schemas.microsoft.com/office/drawing/2014/chart" uri="{C3380CC4-5D6E-409C-BE32-E72D297353CC}">
                <c16:uniqueId val="{00000001-D6A5-43A6-8B2A-627A30AE4C0F}"/>
              </c:ext>
            </c:extLst>
          </c:dPt>
          <c:dPt>
            <c:idx val="1"/>
            <c:invertIfNegative val="0"/>
            <c:bubble3D val="0"/>
            <c:spPr>
              <a:solidFill>
                <a:schemeClr val="accent1"/>
              </a:solidFill>
              <a:ln>
                <a:noFill/>
              </a:ln>
              <a:effectLst/>
              <a:sp3d/>
            </c:spPr>
            <c:extLst>
              <c:ext xmlns:c16="http://schemas.microsoft.com/office/drawing/2014/chart" uri="{C3380CC4-5D6E-409C-BE32-E72D297353CC}">
                <c16:uniqueId val="{00000002-D6A5-43A6-8B2A-627A30AE4C0F}"/>
              </c:ext>
            </c:extLst>
          </c:dPt>
          <c:dPt>
            <c:idx val="2"/>
            <c:invertIfNegative val="0"/>
            <c:bubble3D val="0"/>
            <c:spPr>
              <a:solidFill>
                <a:schemeClr val="accent1"/>
              </a:solidFill>
              <a:ln>
                <a:noFill/>
              </a:ln>
              <a:effectLst/>
              <a:sp3d/>
            </c:spPr>
            <c:extLst>
              <c:ext xmlns:c16="http://schemas.microsoft.com/office/drawing/2014/chart" uri="{C3380CC4-5D6E-409C-BE32-E72D297353CC}">
                <c16:uniqueId val="{00000003-D6A5-43A6-8B2A-627A30AE4C0F}"/>
              </c:ext>
            </c:extLst>
          </c:dPt>
          <c:dPt>
            <c:idx val="3"/>
            <c:invertIfNegative val="0"/>
            <c:bubble3D val="0"/>
            <c:spPr>
              <a:solidFill>
                <a:schemeClr val="accent1"/>
              </a:solidFill>
              <a:ln>
                <a:noFill/>
              </a:ln>
              <a:effectLst/>
              <a:sp3d/>
            </c:spPr>
            <c:extLst>
              <c:ext xmlns:c16="http://schemas.microsoft.com/office/drawing/2014/chart" uri="{C3380CC4-5D6E-409C-BE32-E72D297353CC}">
                <c16:uniqueId val="{00000004-D6A5-43A6-8B2A-627A30AE4C0F}"/>
              </c:ext>
            </c:extLst>
          </c:dPt>
          <c:dLbls>
            <c:dLbl>
              <c:idx val="0"/>
              <c:layout>
                <c:manualLayout>
                  <c:x val="0"/>
                  <c:y val="-1.2016097786436097E-2"/>
                </c:manualLayout>
              </c:layout>
              <c:tx>
                <c:rich>
                  <a:bodyPr/>
                  <a:lstStyle/>
                  <a:p>
                    <a:fld id="{D0199C8B-5007-4F5D-9094-2F99DBDBB91A}" type="VALUE">
                      <a:rPr lang="en-US" b="1"/>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D6A5-43A6-8B2A-627A30AE4C0F}"/>
                </c:ext>
              </c:extLst>
            </c:dLbl>
            <c:dLbl>
              <c:idx val="1"/>
              <c:layout>
                <c:manualLayout>
                  <c:x val="3.4274256120450444E-3"/>
                  <c:y val="-1.2016097786436152E-2"/>
                </c:manualLayout>
              </c:layout>
              <c:tx>
                <c:rich>
                  <a:bodyPr/>
                  <a:lstStyle/>
                  <a:p>
                    <a:fld id="{BA19BABA-D4C2-4B3D-BEFD-FC80963A9798}" type="VALUE">
                      <a:rPr lang="en-US" b="1"/>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D6A5-43A6-8B2A-627A30AE4C0F}"/>
                </c:ext>
              </c:extLst>
            </c:dLbl>
            <c:dLbl>
              <c:idx val="2"/>
              <c:layout>
                <c:manualLayout>
                  <c:x val="-1.256708206816095E-16"/>
                  <c:y val="-1.2016097786436097E-2"/>
                </c:manualLayout>
              </c:layout>
              <c:tx>
                <c:rich>
                  <a:bodyPr/>
                  <a:lstStyle/>
                  <a:p>
                    <a:fld id="{D5BB48C5-6402-421D-8E88-9526C1A6677E}" type="VALUE">
                      <a:rPr lang="en-US" b="1"/>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D6A5-43A6-8B2A-627A30AE4C0F}"/>
                </c:ext>
              </c:extLst>
            </c:dLbl>
            <c:dLbl>
              <c:idx val="3"/>
              <c:layout>
                <c:manualLayout>
                  <c:x val="6.8548512240902137E-3"/>
                  <c:y val="-1.8024146679654143E-2"/>
                </c:manualLayout>
              </c:layout>
              <c:tx>
                <c:rich>
                  <a:bodyPr/>
                  <a:lstStyle/>
                  <a:p>
                    <a:fld id="{1129E06E-5527-4AEF-A5EB-BADA1B724C21}" type="VALUE">
                      <a:rPr lang="en-US" b="1"/>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D6A5-43A6-8B2A-627A30AE4C0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Pivot!$A$4:$A$8</c:f>
              <c:strCache>
                <c:ptCount val="4"/>
                <c:pt idx="0">
                  <c:v>2021</c:v>
                </c:pt>
                <c:pt idx="1">
                  <c:v>2022</c:v>
                </c:pt>
                <c:pt idx="2">
                  <c:v>2023</c:v>
                </c:pt>
                <c:pt idx="3">
                  <c:v>2024</c:v>
                </c:pt>
              </c:strCache>
            </c:strRef>
          </c:cat>
          <c:val>
            <c:numRef>
              <c:f>Pivot!$B$4:$B$8</c:f>
              <c:numCache>
                <c:formatCode>General</c:formatCode>
                <c:ptCount val="4"/>
                <c:pt idx="0">
                  <c:v>276.64999999999998</c:v>
                </c:pt>
                <c:pt idx="1">
                  <c:v>180.09</c:v>
                </c:pt>
                <c:pt idx="2">
                  <c:v>74.099999999999994</c:v>
                </c:pt>
                <c:pt idx="3">
                  <c:v>42.5</c:v>
                </c:pt>
              </c:numCache>
            </c:numRef>
          </c:val>
          <c:extLst>
            <c:ext xmlns:c16="http://schemas.microsoft.com/office/drawing/2014/chart" uri="{C3380CC4-5D6E-409C-BE32-E72D297353CC}">
              <c16:uniqueId val="{00000003-29DD-45E4-B646-E28D6E3079CA}"/>
            </c:ext>
          </c:extLst>
        </c:ser>
        <c:dLbls>
          <c:showLegendKey val="0"/>
          <c:showVal val="1"/>
          <c:showCatName val="0"/>
          <c:showSerName val="0"/>
          <c:showPercent val="0"/>
          <c:showBubbleSize val="0"/>
        </c:dLbls>
        <c:gapWidth val="150"/>
        <c:shape val="box"/>
        <c:axId val="1094773391"/>
        <c:axId val="1094769647"/>
        <c:axId val="0"/>
      </c:bar3DChart>
      <c:catAx>
        <c:axId val="1094773391"/>
        <c:scaling>
          <c:orientation val="minMax"/>
        </c:scaling>
        <c:delete val="0"/>
        <c:axPos val="b"/>
        <c:numFmt formatCode="General" sourceLinked="1"/>
        <c:majorTickMark val="none"/>
        <c:minorTickMark val="none"/>
        <c:tickLblPos val="nextTo"/>
        <c:spPr>
          <a:noFill/>
          <a:ln>
            <a:solidFill>
              <a:schemeClr val="lt1">
                <a:shade val="50000"/>
              </a:schemeClr>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94769647"/>
        <c:crosses val="autoZero"/>
        <c:auto val="1"/>
        <c:lblAlgn val="ctr"/>
        <c:lblOffset val="100"/>
        <c:noMultiLvlLbl val="0"/>
      </c:catAx>
      <c:valAx>
        <c:axId val="1094769647"/>
        <c:scaling>
          <c:orientation val="minMax"/>
        </c:scaling>
        <c:delete val="0"/>
        <c:axPos val="l"/>
        <c:numFmt formatCode="General" sourceLinked="1"/>
        <c:majorTickMark val="none"/>
        <c:minorTickMark val="none"/>
        <c:tickLblPos val="nextTo"/>
        <c:spPr>
          <a:noFill/>
          <a:ln>
            <a:solidFill>
              <a:schemeClr val="lt1">
                <a:shade val="50000"/>
              </a:schemeClr>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947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[Property Financial Analysis V0.12 (Update MixedFruit Data).xlsm]Pivot!Occupacy</c:name>
    <c:fmtId val="3"/>
  </c:pivotSource>
  <c:chart>
    <c:title>
      <c:tx>
        <c:rich>
          <a:bodyPr rot="0" spcFirstLastPara="1" vertOverflow="ellipsis" vert="horz" wrap="square" anchor="ctr" anchorCtr="1"/>
          <a:lstStyle/>
          <a:p>
            <a:pPr algn="ctr" rtl="0">
              <a:defRPr lang="en-US" sz="1400" b="1" i="0" u="none" strike="noStrike" kern="1200" spc="0" baseline="0">
                <a:solidFill>
                  <a:schemeClr val="tx1"/>
                </a:solidFill>
                <a:latin typeface="+mn-lt"/>
                <a:ea typeface="+mn-ea"/>
                <a:cs typeface="+mn-cs"/>
              </a:defRPr>
            </a:pPr>
            <a:r>
              <a:rPr lang="en-US" sz="1400" b="1" i="0" u="none" strike="noStrike" kern="1200" spc="0" baseline="0">
                <a:solidFill>
                  <a:schemeClr val="tx1"/>
                </a:solidFill>
                <a:latin typeface="+mn-lt"/>
                <a:ea typeface="+mn-ea"/>
                <a:cs typeface="+mn-cs"/>
              </a:rPr>
              <a:t>Occupacy By Year</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tx1"/>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sp3d/>
        </c:spPr>
        <c:dLbl>
          <c:idx val="0"/>
          <c:layout>
            <c:manualLayout>
              <c:x val="4.6267505602193447E-3"/>
              <c:y val="-1.7937097979958273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4D23A53-B524-43BC-81BD-32FA5D6F3BC7}" type="VALUE">
                  <a:rPr lang="en-US" b="1"/>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solidFill>
            <a:schemeClr val="accent2"/>
          </a:solidFill>
          <a:ln>
            <a:noFill/>
          </a:ln>
          <a:effectLst/>
          <a:sp3d/>
        </c:spPr>
        <c:dLbl>
          <c:idx val="0"/>
          <c:layout>
            <c:manualLayout>
              <c:x val="0"/>
              <c:y val="-3.5874439461883408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FB0195F-0FDC-4E50-AE57-40CA3311E977}" type="VALUE">
                  <a:rPr lang="en-US" b="1"/>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spPr>
          <a:solidFill>
            <a:schemeClr val="accent2"/>
          </a:solidFill>
          <a:ln>
            <a:noFill/>
          </a:ln>
          <a:effectLst/>
          <a:sp3d/>
        </c:spPr>
        <c:dLbl>
          <c:idx val="0"/>
          <c:layout>
            <c:manualLayout>
              <c:x val="0"/>
              <c:y val="-5.3811659192825059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E8872C6-066C-482E-AB72-0362381E0252}" type="VALUE">
                  <a:rPr lang="en-US" b="1"/>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chemeClr val="accent2"/>
          </a:solidFill>
          <a:ln>
            <a:noFill/>
          </a:ln>
          <a:effectLst/>
          <a:sp3d/>
        </c:spPr>
        <c:dLbl>
          <c:idx val="0"/>
          <c:layout>
            <c:manualLayout>
              <c:x val="2.3133752801096723E-3"/>
              <c:y val="-3.5670099328587619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FC4A79D-7C80-422A-99C1-C5A0B2BAFA0D}" type="VALUE">
                  <a:rPr lang="en-US" b="1"/>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Pivot!$B$15</c:f>
              <c:strCache>
                <c:ptCount val="1"/>
                <c:pt idx="0">
                  <c:v>Total</c:v>
                </c:pt>
              </c:strCache>
            </c:strRef>
          </c:tx>
          <c:spPr>
            <a:solidFill>
              <a:schemeClr val="accent2"/>
            </a:solidFill>
            <a:ln>
              <a:noFill/>
            </a:ln>
            <a:effectLst/>
            <a:sp3d/>
          </c:spPr>
          <c:invertIfNegative val="0"/>
          <c:dPt>
            <c:idx val="0"/>
            <c:invertIfNegative val="0"/>
            <c:bubble3D val="0"/>
            <c:spPr>
              <a:solidFill>
                <a:schemeClr val="accent2"/>
              </a:solidFill>
              <a:ln>
                <a:noFill/>
              </a:ln>
              <a:effectLst/>
              <a:sp3d/>
            </c:spPr>
            <c:extLst>
              <c:ext xmlns:c16="http://schemas.microsoft.com/office/drawing/2014/chart" uri="{C3380CC4-5D6E-409C-BE32-E72D297353CC}">
                <c16:uniqueId val="{00000008-7803-4A57-BCC6-20808026ADEF}"/>
              </c:ext>
            </c:extLst>
          </c:dPt>
          <c:dPt>
            <c:idx val="1"/>
            <c:invertIfNegative val="0"/>
            <c:bubble3D val="0"/>
            <c:spPr>
              <a:solidFill>
                <a:schemeClr val="accent2"/>
              </a:solidFill>
              <a:ln>
                <a:noFill/>
              </a:ln>
              <a:effectLst/>
              <a:sp3d/>
            </c:spPr>
            <c:extLst>
              <c:ext xmlns:c16="http://schemas.microsoft.com/office/drawing/2014/chart" uri="{C3380CC4-5D6E-409C-BE32-E72D297353CC}">
                <c16:uniqueId val="{00000002-34A8-46E9-8265-535FDAEC5A33}"/>
              </c:ext>
            </c:extLst>
          </c:dPt>
          <c:dPt>
            <c:idx val="2"/>
            <c:invertIfNegative val="0"/>
            <c:bubble3D val="0"/>
            <c:spPr>
              <a:solidFill>
                <a:schemeClr val="accent2"/>
              </a:solidFill>
              <a:ln>
                <a:noFill/>
              </a:ln>
              <a:effectLst/>
              <a:sp3d/>
            </c:spPr>
            <c:extLst>
              <c:ext xmlns:c16="http://schemas.microsoft.com/office/drawing/2014/chart" uri="{C3380CC4-5D6E-409C-BE32-E72D297353CC}">
                <c16:uniqueId val="{00000003-34A8-46E9-8265-535FDAEC5A33}"/>
              </c:ext>
            </c:extLst>
          </c:dPt>
          <c:dPt>
            <c:idx val="3"/>
            <c:invertIfNegative val="0"/>
            <c:bubble3D val="0"/>
            <c:spPr>
              <a:solidFill>
                <a:schemeClr val="accent2"/>
              </a:solidFill>
              <a:ln>
                <a:noFill/>
              </a:ln>
              <a:effectLst/>
              <a:sp3d/>
            </c:spPr>
            <c:extLst>
              <c:ext xmlns:c16="http://schemas.microsoft.com/office/drawing/2014/chart" uri="{C3380CC4-5D6E-409C-BE32-E72D297353CC}">
                <c16:uniqueId val="{00000004-34A8-46E9-8265-535FDAEC5A33}"/>
              </c:ext>
            </c:extLst>
          </c:dPt>
          <c:dPt>
            <c:idx val="4"/>
            <c:invertIfNegative val="0"/>
            <c:bubble3D val="0"/>
            <c:extLst>
              <c:ext xmlns:c16="http://schemas.microsoft.com/office/drawing/2014/chart" uri="{C3380CC4-5D6E-409C-BE32-E72D297353CC}">
                <c16:uniqueId val="{00000006-678F-49BF-8FDE-65C559935BAD}"/>
              </c:ext>
            </c:extLst>
          </c:dPt>
          <c:dLbls>
            <c:dLbl>
              <c:idx val="0"/>
              <c:layout>
                <c:manualLayout>
                  <c:x val="2.3133752801096723E-3"/>
                  <c:y val="-3.5670099328587619E-2"/>
                </c:manualLayout>
              </c:layout>
              <c:tx>
                <c:rich>
                  <a:bodyPr/>
                  <a:lstStyle/>
                  <a:p>
                    <a:fld id="{EFC4A79D-7C80-422A-99C1-C5A0B2BAFA0D}" type="VALUE">
                      <a:rPr lang="en-US" b="1"/>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8-7803-4A57-BCC6-20808026ADEF}"/>
                </c:ext>
              </c:extLst>
            </c:dLbl>
            <c:dLbl>
              <c:idx val="1"/>
              <c:layout>
                <c:manualLayout>
                  <c:x val="4.6267505602193447E-3"/>
                  <c:y val="-1.7937097979958273E-2"/>
                </c:manualLayout>
              </c:layout>
              <c:tx>
                <c:rich>
                  <a:bodyPr/>
                  <a:lstStyle/>
                  <a:p>
                    <a:fld id="{64D23A53-B524-43BC-81BD-32FA5D6F3BC7}" type="VALUE">
                      <a:rPr lang="en-US" b="1"/>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34A8-46E9-8265-535FDAEC5A33}"/>
                </c:ext>
              </c:extLst>
            </c:dLbl>
            <c:dLbl>
              <c:idx val="2"/>
              <c:layout>
                <c:manualLayout>
                  <c:x val="0"/>
                  <c:y val="-3.5874439461883408E-2"/>
                </c:manualLayout>
              </c:layout>
              <c:tx>
                <c:rich>
                  <a:bodyPr/>
                  <a:lstStyle/>
                  <a:p>
                    <a:fld id="{2FB0195F-0FDC-4E50-AE57-40CA3311E977}" type="VALUE">
                      <a:rPr lang="en-US" b="1"/>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4A8-46E9-8265-535FDAEC5A33}"/>
                </c:ext>
              </c:extLst>
            </c:dLbl>
            <c:dLbl>
              <c:idx val="3"/>
              <c:layout>
                <c:manualLayout>
                  <c:x val="0"/>
                  <c:y val="-5.3811659192825059E-2"/>
                </c:manualLayout>
              </c:layout>
              <c:tx>
                <c:rich>
                  <a:bodyPr/>
                  <a:lstStyle/>
                  <a:p>
                    <a:fld id="{5E8872C6-066C-482E-AB72-0362381E0252}" type="VALUE">
                      <a:rPr lang="en-US" b="1"/>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34A8-46E9-8265-535FDAEC5A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Pivot!$A$16:$A$20</c:f>
              <c:strCache>
                <c:ptCount val="4"/>
                <c:pt idx="0">
                  <c:v>2021</c:v>
                </c:pt>
                <c:pt idx="1">
                  <c:v>2022</c:v>
                </c:pt>
                <c:pt idx="2">
                  <c:v>2023</c:v>
                </c:pt>
                <c:pt idx="3">
                  <c:v>2024</c:v>
                </c:pt>
              </c:strCache>
            </c:strRef>
          </c:cat>
          <c:val>
            <c:numRef>
              <c:f>Pivot!$B$16:$B$20</c:f>
              <c:numCache>
                <c:formatCode>0.0%</c:formatCode>
                <c:ptCount val="4"/>
                <c:pt idx="0">
                  <c:v>0.76250000000000007</c:v>
                </c:pt>
                <c:pt idx="1">
                  <c:v>0.68</c:v>
                </c:pt>
                <c:pt idx="2">
                  <c:v>0.59</c:v>
                </c:pt>
                <c:pt idx="3">
                  <c:v>0.48</c:v>
                </c:pt>
              </c:numCache>
            </c:numRef>
          </c:val>
          <c:extLst>
            <c:ext xmlns:c16="http://schemas.microsoft.com/office/drawing/2014/chart" uri="{C3380CC4-5D6E-409C-BE32-E72D297353CC}">
              <c16:uniqueId val="{00000000-34A8-46E9-8265-535FDAEC5A33}"/>
            </c:ext>
          </c:extLst>
        </c:ser>
        <c:dLbls>
          <c:showLegendKey val="0"/>
          <c:showVal val="1"/>
          <c:showCatName val="0"/>
          <c:showSerName val="0"/>
          <c:showPercent val="0"/>
          <c:showBubbleSize val="0"/>
        </c:dLbls>
        <c:gapWidth val="150"/>
        <c:shape val="box"/>
        <c:axId val="1094765903"/>
        <c:axId val="1094762991"/>
        <c:axId val="0"/>
      </c:bar3DChart>
      <c:catAx>
        <c:axId val="1094765903"/>
        <c:scaling>
          <c:orientation val="minMax"/>
        </c:scaling>
        <c:delete val="0"/>
        <c:axPos val="b"/>
        <c:numFmt formatCode="General" sourceLinked="1"/>
        <c:majorTickMark val="none"/>
        <c:minorTickMark val="none"/>
        <c:tickLblPos val="nextTo"/>
        <c:spPr>
          <a:noFill/>
          <a:ln>
            <a:solidFill>
              <a:schemeClr val="lt1">
                <a:shade val="50000"/>
              </a:schemeClr>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94762991"/>
        <c:crosses val="autoZero"/>
        <c:auto val="1"/>
        <c:lblAlgn val="ctr"/>
        <c:lblOffset val="100"/>
        <c:noMultiLvlLbl val="0"/>
      </c:catAx>
      <c:valAx>
        <c:axId val="1094762991"/>
        <c:scaling>
          <c:orientation val="minMax"/>
        </c:scaling>
        <c:delete val="0"/>
        <c:axPos val="l"/>
        <c:numFmt formatCode="0.0%" sourceLinked="1"/>
        <c:majorTickMark val="none"/>
        <c:minorTickMark val="none"/>
        <c:tickLblPos val="nextTo"/>
        <c:spPr>
          <a:noFill/>
          <a:ln>
            <a:solidFill>
              <a:schemeClr val="lt1">
                <a:shade val="50000"/>
              </a:schemeClr>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94765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[Property Financial Analysis V0.12 (Update MixedFruit Data).xlsm]Pivot!Range</c:name>
    <c:fmtId val="3"/>
  </c:pivotSource>
  <c:chart>
    <c:title>
      <c:tx>
        <c:rich>
          <a:bodyPr rot="0" spcFirstLastPara="1" vertOverflow="ellipsis" vert="horz" wrap="square" anchor="ctr" anchorCtr="1"/>
          <a:lstStyle/>
          <a:p>
            <a:pPr algn="ctr" rtl="0">
              <a:defRPr lang="en-US" sz="1400" b="1" i="0" u="none" strike="noStrike" kern="1200" spc="0" baseline="0">
                <a:solidFill>
                  <a:schemeClr val="tx1"/>
                </a:solidFill>
                <a:latin typeface="+mn-lt"/>
                <a:ea typeface="+mn-ea"/>
                <a:cs typeface="+mn-cs"/>
              </a:defRPr>
            </a:pPr>
            <a:r>
              <a:rPr lang="en-US" sz="1400" b="1" i="0" u="none" strike="noStrike" kern="1200" spc="0" baseline="0">
                <a:solidFill>
                  <a:schemeClr val="tx1"/>
                </a:solidFill>
                <a:latin typeface="+mn-lt"/>
                <a:ea typeface="+mn-ea"/>
                <a:cs typeface="+mn-cs"/>
              </a:rPr>
              <a:t>Wault By Year</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2"/>
          </a:solidFill>
          <a:ln w="19050">
            <a:solidFill>
              <a:schemeClr val="lt1"/>
            </a:solidFill>
          </a:ln>
          <a:effectLst>
            <a:outerShdw blurRad="50800" dist="38100" dir="5400000" algn="t" rotWithShape="0">
              <a:prstClr val="black">
                <a:alpha val="40000"/>
              </a:prstClr>
            </a:outerShdw>
          </a:effectLst>
        </c:spPr>
        <c:marker>
          <c:symbol val="none"/>
        </c:marker>
        <c:dLbl>
          <c:idx val="0"/>
          <c:spPr>
            <a:noFill/>
            <a:ln>
              <a:noFill/>
            </a:ln>
            <a:effectLst>
              <a:outerShdw blurRad="50800" dist="38100" dir="5400000" algn="t"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2"/>
          </a:solidFill>
          <a:ln w="19050">
            <a:solidFill>
              <a:schemeClr val="lt1"/>
            </a:solidFill>
          </a:ln>
          <a:effectLst>
            <a:outerShdw blurRad="50800" dist="38100" dir="5400000" algn="t" rotWithShape="0">
              <a:prstClr val="black">
                <a:alpha val="40000"/>
              </a:prstClr>
            </a:outerShdw>
          </a:effectLst>
        </c:spPr>
      </c:pivotFmt>
      <c:pivotFmt>
        <c:idx val="7"/>
        <c:spPr>
          <a:solidFill>
            <a:schemeClr val="accent2"/>
          </a:solidFill>
          <a:ln w="19050">
            <a:solidFill>
              <a:schemeClr val="lt1"/>
            </a:solidFill>
          </a:ln>
          <a:effectLst>
            <a:outerShdw blurRad="50800" dist="38100" dir="5400000" algn="t" rotWithShape="0">
              <a:prstClr val="black">
                <a:alpha val="40000"/>
              </a:prstClr>
            </a:outerShdw>
          </a:effectLst>
        </c:spPr>
      </c:pivotFmt>
      <c:pivotFmt>
        <c:idx val="8"/>
        <c:spPr>
          <a:solidFill>
            <a:schemeClr val="accent2"/>
          </a:solidFill>
          <a:ln w="19050">
            <a:solidFill>
              <a:schemeClr val="lt1"/>
            </a:solidFill>
          </a:ln>
          <a:effectLst>
            <a:outerShdw blurRad="50800" dist="38100" dir="5400000" algn="t" rotWithShape="0">
              <a:prstClr val="black">
                <a:alpha val="40000"/>
              </a:prstClr>
            </a:outerShdw>
          </a:effectLst>
        </c:spPr>
      </c:pivotFmt>
      <c:pivotFmt>
        <c:idx val="9"/>
        <c:spPr>
          <a:solidFill>
            <a:schemeClr val="accent2"/>
          </a:solidFill>
          <a:ln w="19050">
            <a:solidFill>
              <a:schemeClr val="lt1"/>
            </a:solidFill>
          </a:ln>
          <a:effectLst>
            <a:outerShdw blurRad="50800" dist="38100" dir="5400000" algn="t" rotWithShape="0">
              <a:prstClr val="black">
                <a:alpha val="40000"/>
              </a:prstClr>
            </a:outerShdw>
          </a:effectLst>
        </c:spPr>
      </c:pivotFmt>
      <c:pivotFmt>
        <c:idx val="10"/>
        <c:spPr>
          <a:solidFill>
            <a:schemeClr val="accent2"/>
          </a:solidFill>
          <a:ln w="19050">
            <a:solidFill>
              <a:schemeClr val="lt1"/>
            </a:solidFill>
          </a:ln>
          <a:effectLst>
            <a:outerShdw blurRad="50800" dist="38100" dir="5400000" algn="t" rotWithShape="0">
              <a:prstClr val="black">
                <a:alpha val="40000"/>
              </a:prstClr>
            </a:outerShdw>
          </a:effectLst>
        </c:spPr>
      </c:pivotFmt>
      <c:pivotFmt>
        <c:idx val="11"/>
        <c:spPr>
          <a:solidFill>
            <a:schemeClr val="accent2"/>
          </a:solidFill>
          <a:ln w="19050">
            <a:solidFill>
              <a:schemeClr val="lt1"/>
            </a:solidFill>
          </a:ln>
          <a:effectLst>
            <a:outerShdw blurRad="50800" dist="38100" dir="5400000" algn="t" rotWithShape="0">
              <a:prstClr val="black">
                <a:alpha val="40000"/>
              </a:prstClr>
            </a:outerShdw>
          </a:effectLst>
        </c:spPr>
      </c:pivotFmt>
      <c:pivotFmt>
        <c:idx val="12"/>
        <c:spPr>
          <a:solidFill>
            <a:schemeClr val="accent2"/>
          </a:solidFill>
          <a:ln w="19050">
            <a:solidFill>
              <a:schemeClr val="lt1"/>
            </a:solidFill>
          </a:ln>
          <a:effectLst>
            <a:outerShdw blurRad="50800" dist="38100" dir="5400000" algn="t" rotWithShape="0">
              <a:prstClr val="black">
                <a:alpha val="40000"/>
              </a:prstClr>
            </a:outerShdw>
          </a:effectLst>
        </c:spPr>
      </c:pivotFmt>
    </c:pivotFmts>
    <c:plotArea>
      <c:layout/>
      <c:pieChart>
        <c:varyColors val="1"/>
        <c:ser>
          <c:idx val="0"/>
          <c:order val="0"/>
          <c:tx>
            <c:strRef>
              <c:f>Pivot!$B$63</c:f>
              <c:strCache>
                <c:ptCount val="1"/>
                <c:pt idx="0">
                  <c:v>Total</c:v>
                </c:pt>
              </c:strCache>
            </c:strRef>
          </c:tx>
          <c:spPr>
            <a:effectLst>
              <a:outerShdw blurRad="50800" dist="38100" dir="5400000" algn="t" rotWithShape="0">
                <a:prstClr val="black">
                  <a:alpha val="40000"/>
                </a:prstClr>
              </a:outerShdw>
            </a:effectLst>
          </c:spPr>
          <c:dPt>
            <c:idx val="0"/>
            <c:bubble3D val="0"/>
            <c:spPr>
              <a:solidFill>
                <a:schemeClr val="accent2"/>
              </a:solidFill>
              <a:ln w="19050">
                <a:solidFill>
                  <a:schemeClr val="lt1"/>
                </a:solid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1-5455-4A4F-A916-FB3BA5AAE2AE}"/>
              </c:ext>
            </c:extLst>
          </c:dPt>
          <c:dPt>
            <c:idx val="1"/>
            <c:bubble3D val="0"/>
            <c:spPr>
              <a:solidFill>
                <a:schemeClr val="accent4"/>
              </a:solidFill>
              <a:ln w="19050">
                <a:solidFill>
                  <a:schemeClr val="lt1"/>
                </a:solid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3-5455-4A4F-A916-FB3BA5AAE2AE}"/>
              </c:ext>
            </c:extLst>
          </c:dPt>
          <c:dPt>
            <c:idx val="2"/>
            <c:bubble3D val="0"/>
            <c:spPr>
              <a:solidFill>
                <a:schemeClr val="accent6"/>
              </a:solidFill>
              <a:ln w="19050">
                <a:solidFill>
                  <a:schemeClr val="lt1"/>
                </a:solid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5-5455-4A4F-A916-FB3BA5AAE2AE}"/>
              </c:ext>
            </c:extLst>
          </c:dPt>
          <c:dPt>
            <c:idx val="3"/>
            <c:bubble3D val="0"/>
            <c:spPr>
              <a:solidFill>
                <a:schemeClr val="accent2">
                  <a:lumMod val="60000"/>
                </a:schemeClr>
              </a:solidFill>
              <a:ln w="19050">
                <a:solidFill>
                  <a:schemeClr val="lt1"/>
                </a:solid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7-062A-4E18-AC4C-34ECC2D59ECE}"/>
              </c:ext>
            </c:extLst>
          </c:dPt>
          <c:dPt>
            <c:idx val="4"/>
            <c:bubble3D val="0"/>
            <c:spPr>
              <a:solidFill>
                <a:schemeClr val="accent4">
                  <a:lumMod val="60000"/>
                </a:schemeClr>
              </a:solidFill>
              <a:ln w="19050">
                <a:solidFill>
                  <a:schemeClr val="lt1"/>
                </a:solid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9-062A-4E18-AC4C-34ECC2D59ECE}"/>
              </c:ext>
            </c:extLst>
          </c:dPt>
          <c:dPt>
            <c:idx val="5"/>
            <c:bubble3D val="0"/>
            <c:spPr>
              <a:solidFill>
                <a:schemeClr val="accent6">
                  <a:lumMod val="60000"/>
                </a:schemeClr>
              </a:solidFill>
              <a:ln w="19050">
                <a:solidFill>
                  <a:schemeClr val="lt1"/>
                </a:solid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B-062A-4E18-AC4C-34ECC2D59ECE}"/>
              </c:ext>
            </c:extLst>
          </c:dPt>
          <c:dPt>
            <c:idx val="6"/>
            <c:bubble3D val="0"/>
            <c:spPr>
              <a:solidFill>
                <a:schemeClr val="accent2">
                  <a:lumMod val="80000"/>
                  <a:lumOff val="20000"/>
                </a:schemeClr>
              </a:solidFill>
              <a:ln w="19050">
                <a:solidFill>
                  <a:schemeClr val="lt1"/>
                </a:solid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8-5455-4A4F-A916-FB3BA5AAE2AE}"/>
              </c:ext>
            </c:extLst>
          </c:dPt>
          <c:dLbls>
            <c:spPr>
              <a:noFill/>
              <a:ln>
                <a:noFill/>
              </a:ln>
              <a:effectLst>
                <a:outerShdw blurRad="50800" dist="38100" dir="5400000" algn="t"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Pivot!$A$64:$A$71</c:f>
              <c:strCache>
                <c:ptCount val="7"/>
                <c:pt idx="0">
                  <c:v>0 To 4 Yrs</c:v>
                </c:pt>
                <c:pt idx="1">
                  <c:v>5 To 7 Yrs</c:v>
                </c:pt>
                <c:pt idx="2">
                  <c:v>8 To 15 Yrs</c:v>
                </c:pt>
                <c:pt idx="3">
                  <c:v>0 To 3 Yrs</c:v>
                </c:pt>
                <c:pt idx="4">
                  <c:v>3 To 5 Yrs</c:v>
                </c:pt>
                <c:pt idx="5">
                  <c:v>5 To 10 Yrs</c:v>
                </c:pt>
                <c:pt idx="6">
                  <c:v>10 To 15 Yrs</c:v>
                </c:pt>
              </c:strCache>
            </c:strRef>
          </c:cat>
          <c:val>
            <c:numRef>
              <c:f>Pivot!$B$64:$B$71</c:f>
              <c:numCache>
                <c:formatCode>General</c:formatCode>
                <c:ptCount val="7"/>
                <c:pt idx="0">
                  <c:v>0.47981111111111108</c:v>
                </c:pt>
                <c:pt idx="1">
                  <c:v>0.14966250000000003</c:v>
                </c:pt>
                <c:pt idx="2">
                  <c:v>0.36736363636363634</c:v>
                </c:pt>
                <c:pt idx="3">
                  <c:v>0.48</c:v>
                </c:pt>
                <c:pt idx="4">
                  <c:v>0.12</c:v>
                </c:pt>
                <c:pt idx="5">
                  <c:v>0.13</c:v>
                </c:pt>
                <c:pt idx="6">
                  <c:v>0.27</c:v>
                </c:pt>
              </c:numCache>
            </c:numRef>
          </c:val>
          <c:extLst>
            <c:ext xmlns:c16="http://schemas.microsoft.com/office/drawing/2014/chart" uri="{C3380CC4-5D6E-409C-BE32-E72D297353CC}">
              <c16:uniqueId val="{00000006-5455-4A4F-A916-FB3BA5AAE2A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rnd" cmpd="sng" algn="ctr">
      <a:solidFill>
        <a:schemeClr val="lt1">
          <a:shade val="50000"/>
        </a:schemeClr>
      </a:solidFill>
      <a:round/>
    </a:ln>
    <a:effectLst>
      <a:outerShdw blurRad="50800" dist="38100" dir="5400000" algn="t" rotWithShape="0">
        <a:prstClr val="black">
          <a:alpha val="40000"/>
        </a:prstClr>
      </a:outerShdw>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[Property Financial Analysis V0.12 (Update MixedFruit Data).xlsm]Pivot!Contributor</c:name>
    <c:fmtId val="3"/>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a:solidFill>
                  <a:sysClr val="windowText" lastClr="000000"/>
                </a:solidFill>
              </a:rPr>
              <a:t>Contribution Value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64075AA7-0410-4D53-9747-D05B4709432C}" type="PERCENTAGE">
                  <a:rPr lang="en-US">
                    <a:solidFill>
                      <a:schemeClr val="bg1"/>
                    </a:solidFill>
                  </a:rPr>
                  <a:pPr>
                    <a:defRPr/>
                  </a:pPr>
                  <a:t>[PERCENTAGE]</a:t>
                </a:fld>
                <a:endParaRPr lang="en-US"/>
              </a:p>
            </c:rich>
          </c:tx>
          <c:spPr>
            <a:noFill/>
            <a:ln>
              <a:noFill/>
            </a:ln>
            <a:effectLst>
              <a:outerShdw blurRad="50800" dist="38100" dir="5400000" algn="t"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10"/>
        <c:spPr>
          <a:solidFill>
            <a:schemeClr val="accent1"/>
          </a:solidFill>
          <a:ln w="25400">
            <a:solidFill>
              <a:schemeClr val="lt1"/>
            </a:solidFill>
          </a:ln>
          <a:effectLst/>
          <a:sp3d contourW="25400">
            <a:contourClr>
              <a:schemeClr val="lt1"/>
            </a:contourClr>
          </a:sp3d>
        </c:spPr>
        <c:dLbl>
          <c:idx val="0"/>
          <c:spPr>
            <a:noFill/>
            <a:ln>
              <a:noFill/>
            </a:ln>
            <a:effectLst>
              <a:outerShdw blurRad="50800" dist="38100" dir="5400000" algn="t"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EDF88B71-FAF9-494A-9DA8-F2C554FAD285}" type="PERCENTAGE">
                  <a:rPr lang="en-US">
                    <a:solidFill>
                      <a:schemeClr val="bg1"/>
                    </a:solidFill>
                  </a:rPr>
                  <a:pPr>
                    <a:defRPr/>
                  </a:pPr>
                  <a:t>[PERCENTAGE]</a:t>
                </a:fld>
                <a:endParaRPr lang="en-US"/>
              </a:p>
            </c:rich>
          </c:tx>
          <c:spPr>
            <a:noFill/>
            <a:ln>
              <a:noFill/>
            </a:ln>
            <a:effectLst>
              <a:outerShdw blurRad="50800" dist="38100" dir="5400000" algn="t"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12"/>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81874682-7250-46CB-8572-9BEC7C5E3928}" type="PERCENTAGE">
                  <a:rPr lang="en-US">
                    <a:solidFill>
                      <a:schemeClr val="bg1"/>
                    </a:solidFill>
                  </a:rPr>
                  <a:pPr>
                    <a:defRPr/>
                  </a:pPr>
                  <a:t>[PERCENTAGE]</a:t>
                </a:fld>
                <a:endParaRPr lang="en-US"/>
              </a:p>
            </c:rich>
          </c:tx>
          <c:spPr>
            <a:noFill/>
            <a:ln>
              <a:noFill/>
            </a:ln>
            <a:effectLst>
              <a:outerShdw blurRad="50800" dist="38100" dir="5400000" algn="t"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13"/>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5081C92F-FFA6-4649-9991-2C4A05F0FAEC}" type="PERCENTAGE">
                  <a:rPr lang="en-US">
                    <a:solidFill>
                      <a:schemeClr val="bg1"/>
                    </a:solidFill>
                  </a:rPr>
                  <a:pPr>
                    <a:defRPr/>
                  </a:pPr>
                  <a:t>[PERCENTAGE]</a:t>
                </a:fld>
                <a:endParaRPr lang="en-US"/>
              </a:p>
            </c:rich>
          </c:tx>
          <c:spPr>
            <a:noFill/>
            <a:ln>
              <a:noFill/>
            </a:ln>
            <a:effectLst>
              <a:outerShdw blurRad="50800" dist="38100" dir="5400000" algn="t"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14"/>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DC491EB6-5E29-4BCF-A5EB-159E2691A3E5}" type="PERCENTAGE">
                  <a:rPr lang="en-US">
                    <a:solidFill>
                      <a:schemeClr val="bg1"/>
                    </a:solidFill>
                  </a:rPr>
                  <a:pPr>
                    <a:defRPr/>
                  </a:pPr>
                  <a:t>[PERCENTAGE]</a:t>
                </a:fld>
                <a:endParaRPr lang="en-US"/>
              </a:p>
            </c:rich>
          </c:tx>
          <c:spPr>
            <a:noFill/>
            <a:ln>
              <a:noFill/>
            </a:ln>
            <a:effectLst>
              <a:outerShdw blurRad="50800" dist="38100" dir="5400000" algn="t"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15"/>
        <c:spPr>
          <a:solidFill>
            <a:schemeClr val="accent1"/>
          </a:solidFill>
          <a:ln w="25400">
            <a:solidFill>
              <a:schemeClr val="lt1"/>
            </a:solidFill>
          </a:ln>
          <a:effectLst/>
          <a:sp3d contourW="25400">
            <a:contourClr>
              <a:schemeClr val="lt1"/>
            </a:contourClr>
          </a:sp3d>
        </c:spPr>
      </c:pivotFmt>
    </c:pivotFmts>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8277967779280113E-2"/>
          <c:y val="0.27701202992501567"/>
          <c:w val="0.61836386613289507"/>
          <c:h val="0.66478838907674642"/>
        </c:manualLayout>
      </c:layout>
      <c:pie3DChart>
        <c:varyColors val="1"/>
        <c:ser>
          <c:idx val="0"/>
          <c:order val="0"/>
          <c:tx>
            <c:strRef>
              <c:f>Pivot!$B$78</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7DA-4193-ACFC-5139C774C921}"/>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7DA-4193-ACFC-5139C774C921}"/>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7DA-4193-ACFC-5139C774C921}"/>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A7DA-4193-ACFC-5139C774C921}"/>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7DA-4193-ACFC-5139C774C921}"/>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A7DA-4193-ACFC-5139C774C921}"/>
              </c:ext>
            </c:extLst>
          </c:dPt>
          <c:dLbls>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64075AA7-0410-4D53-9747-D05B4709432C}" type="PERCENTAGE">
                      <a:rPr lang="en-US">
                        <a:solidFill>
                          <a:schemeClr val="bg1"/>
                        </a:solidFill>
                      </a:rPr>
                      <a:pPr>
                        <a:defRPr/>
                      </a:pPr>
                      <a:t>[PERCENTAGE]</a:t>
                    </a:fld>
                    <a:endParaRPr lang="en-US"/>
                  </a:p>
                </c:rich>
              </c:tx>
              <c:spPr>
                <a:noFill/>
                <a:ln>
                  <a:noFill/>
                </a:ln>
                <a:effectLst>
                  <a:outerShdw blurRad="50800" dist="38100" dir="5400000" algn="t"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A7DA-4193-ACFC-5139C774C921}"/>
                </c:ext>
              </c:extLst>
            </c:dLbl>
            <c:dLbl>
              <c:idx val="1"/>
              <c:spPr>
                <a:noFill/>
                <a:ln>
                  <a:noFill/>
                </a:ln>
                <a:effectLst>
                  <a:outerShdw blurRad="50800" dist="38100" dir="5400000" algn="t"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7DA-4193-ACFC-5139C774C921}"/>
                </c:ext>
              </c:extLst>
            </c:dLbl>
            <c:dLbl>
              <c:idx val="2"/>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EDF88B71-FAF9-494A-9DA8-F2C554FAD285}" type="PERCENTAGE">
                      <a:rPr lang="en-US">
                        <a:solidFill>
                          <a:schemeClr val="bg1"/>
                        </a:solidFill>
                      </a:rPr>
                      <a:pPr>
                        <a:defRPr/>
                      </a:pPr>
                      <a:t>[PERCENTAGE]</a:t>
                    </a:fld>
                    <a:endParaRPr lang="en-US"/>
                  </a:p>
                </c:rich>
              </c:tx>
              <c:spPr>
                <a:noFill/>
                <a:ln>
                  <a:noFill/>
                </a:ln>
                <a:effectLst>
                  <a:outerShdw blurRad="50800" dist="38100" dir="5400000" algn="t"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A7DA-4193-ACFC-5139C774C921}"/>
                </c:ext>
              </c:extLst>
            </c:dLbl>
            <c:dLbl>
              <c:idx val="3"/>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81874682-7250-46CB-8572-9BEC7C5E3928}" type="PERCENTAGE">
                      <a:rPr lang="en-US">
                        <a:solidFill>
                          <a:schemeClr val="bg1"/>
                        </a:solidFill>
                      </a:rPr>
                      <a:pPr>
                        <a:defRPr/>
                      </a:pPr>
                      <a:t>[PERCENTAGE]</a:t>
                    </a:fld>
                    <a:endParaRPr lang="en-US"/>
                  </a:p>
                </c:rich>
              </c:tx>
              <c:spPr>
                <a:noFill/>
                <a:ln>
                  <a:noFill/>
                </a:ln>
                <a:effectLst>
                  <a:outerShdw blurRad="50800" dist="38100" dir="5400000" algn="t"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A7DA-4193-ACFC-5139C774C921}"/>
                </c:ext>
              </c:extLst>
            </c:dLbl>
            <c:dLbl>
              <c:idx val="4"/>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5081C92F-FFA6-4649-9991-2C4A05F0FAEC}" type="PERCENTAGE">
                      <a:rPr lang="en-US">
                        <a:solidFill>
                          <a:schemeClr val="bg1"/>
                        </a:solidFill>
                      </a:rPr>
                      <a:pPr>
                        <a:defRPr/>
                      </a:pPr>
                      <a:t>[PERCENTAGE]</a:t>
                    </a:fld>
                    <a:endParaRPr lang="en-US"/>
                  </a:p>
                </c:rich>
              </c:tx>
              <c:spPr>
                <a:noFill/>
                <a:ln>
                  <a:noFill/>
                </a:ln>
                <a:effectLst>
                  <a:outerShdw blurRad="50800" dist="38100" dir="5400000" algn="t"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A7DA-4193-ACFC-5139C774C921}"/>
                </c:ext>
              </c:extLst>
            </c:dLbl>
            <c:dLbl>
              <c:idx val="5"/>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DC491EB6-5E29-4BCF-A5EB-159E2691A3E5}" type="PERCENTAGE">
                      <a:rPr lang="en-US">
                        <a:solidFill>
                          <a:schemeClr val="bg1"/>
                        </a:solidFill>
                      </a:rPr>
                      <a:pPr>
                        <a:defRPr/>
                      </a:pPr>
                      <a:t>[PERCENTAGE]</a:t>
                    </a:fld>
                    <a:endParaRPr lang="en-US"/>
                  </a:p>
                </c:rich>
              </c:tx>
              <c:spPr>
                <a:noFill/>
                <a:ln>
                  <a:noFill/>
                </a:ln>
                <a:effectLst>
                  <a:outerShdw blurRad="50800" dist="38100" dir="5400000" algn="t"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B-A7DA-4193-ACFC-5139C774C92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Pivot!$A$79:$A$85</c:f>
              <c:strCache>
                <c:ptCount val="6"/>
                <c:pt idx="0">
                  <c:v>Costain</c:v>
                </c:pt>
                <c:pt idx="1">
                  <c:v>Emirates</c:v>
                </c:pt>
                <c:pt idx="2">
                  <c:v>Hasbro</c:v>
                </c:pt>
                <c:pt idx="3">
                  <c:v>HIKVision</c:v>
                </c:pt>
                <c:pt idx="4">
                  <c:v>PZ Cussons</c:v>
                </c:pt>
                <c:pt idx="5">
                  <c:v>Regus</c:v>
                </c:pt>
              </c:strCache>
            </c:strRef>
          </c:cat>
          <c:val>
            <c:numRef>
              <c:f>Pivot!$B$79:$B$85</c:f>
              <c:numCache>
                <c:formatCode>General</c:formatCode>
                <c:ptCount val="6"/>
                <c:pt idx="0">
                  <c:v>744471</c:v>
                </c:pt>
                <c:pt idx="1">
                  <c:v>423774</c:v>
                </c:pt>
                <c:pt idx="2">
                  <c:v>1604096</c:v>
                </c:pt>
                <c:pt idx="3">
                  <c:v>676896</c:v>
                </c:pt>
                <c:pt idx="4">
                  <c:v>823830</c:v>
                </c:pt>
                <c:pt idx="5">
                  <c:v>1087531</c:v>
                </c:pt>
              </c:numCache>
            </c:numRef>
          </c:val>
          <c:extLst>
            <c:ext xmlns:c16="http://schemas.microsoft.com/office/drawing/2014/chart" uri="{C3380CC4-5D6E-409C-BE32-E72D297353CC}">
              <c16:uniqueId val="{0000000C-A7DA-4193-ACFC-5139C774C921}"/>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[Property Financial Analysis V0.12 (Update MixedFruit Data).xlsm]Pivot!Distribution</c:name>
    <c:fmtId val="5"/>
  </c:pivotSource>
  <c:chart>
    <c:title>
      <c:tx>
        <c:rich>
          <a:bodyPr rot="0" spcFirstLastPara="1" vertOverflow="ellipsis" vert="horz" wrap="square" anchor="ctr" anchorCtr="1"/>
          <a:lstStyle/>
          <a:p>
            <a:pPr algn="ctr" rtl="0">
              <a:defRPr lang="en-US" sz="1400" b="1" i="0" u="none" strike="noStrike" kern="1200" spc="0" baseline="0">
                <a:solidFill>
                  <a:schemeClr val="tx1"/>
                </a:solidFill>
                <a:latin typeface="+mn-lt"/>
                <a:ea typeface="+mn-ea"/>
                <a:cs typeface="+mn-cs"/>
              </a:defRPr>
            </a:pPr>
            <a:r>
              <a:rPr lang="en-US" sz="1400" b="1" i="0" u="none" strike="noStrike" kern="1200" spc="0" baseline="0">
                <a:solidFill>
                  <a:schemeClr val="tx1"/>
                </a:solidFill>
                <a:latin typeface="+mn-lt"/>
                <a:ea typeface="+mn-ea"/>
                <a:cs typeface="+mn-cs"/>
              </a:rPr>
              <a:t>Distribution By Year</a:t>
            </a:r>
          </a:p>
        </c:rich>
      </c:tx>
      <c:layout>
        <c:manualLayout>
          <c:xMode val="edge"/>
          <c:yMode val="edge"/>
          <c:x val="0.28107855218362954"/>
          <c:y val="6.6066066066066062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2.5789813023855104E-3"/>
              <c:y val="-3.603603603603603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4.7280777685490106E-17"/>
              <c:y val="-2.402402402402402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9.4561555370980212E-17"/>
              <c:y val="-2.402402402402413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dLbl>
          <c:idx val="0"/>
          <c:layout>
            <c:manualLayout>
              <c:x val="0"/>
              <c:y val="-2.402402402402413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Pivot!$B$27</c:f>
              <c:strCache>
                <c:ptCount val="1"/>
                <c:pt idx="0">
                  <c:v>Total</c:v>
                </c:pt>
              </c:strCache>
            </c:strRef>
          </c:tx>
          <c:spPr>
            <a:solidFill>
              <a:schemeClr val="accent1"/>
            </a:solidFill>
            <a:ln>
              <a:noFill/>
            </a:ln>
            <a:effectLst/>
            <a:sp3d/>
          </c:spPr>
          <c:invertIfNegative val="0"/>
          <c:dPt>
            <c:idx val="0"/>
            <c:invertIfNegative val="0"/>
            <c:bubble3D val="0"/>
            <c:spPr>
              <a:solidFill>
                <a:schemeClr val="accent1"/>
              </a:solidFill>
              <a:ln>
                <a:noFill/>
              </a:ln>
              <a:effectLst/>
              <a:sp3d/>
            </c:spPr>
            <c:extLst>
              <c:ext xmlns:c16="http://schemas.microsoft.com/office/drawing/2014/chart" uri="{C3380CC4-5D6E-409C-BE32-E72D297353CC}">
                <c16:uniqueId val="{00000002-A3B9-4488-AE09-47163FBC99FF}"/>
              </c:ext>
            </c:extLst>
          </c:dPt>
          <c:dPt>
            <c:idx val="1"/>
            <c:invertIfNegative val="0"/>
            <c:bubble3D val="0"/>
            <c:spPr>
              <a:solidFill>
                <a:schemeClr val="accent1"/>
              </a:solidFill>
              <a:ln>
                <a:noFill/>
              </a:ln>
              <a:effectLst/>
              <a:sp3d/>
            </c:spPr>
            <c:extLst>
              <c:ext xmlns:c16="http://schemas.microsoft.com/office/drawing/2014/chart" uri="{C3380CC4-5D6E-409C-BE32-E72D297353CC}">
                <c16:uniqueId val="{00000003-A3B9-4488-AE09-47163FBC99FF}"/>
              </c:ext>
            </c:extLst>
          </c:dPt>
          <c:dPt>
            <c:idx val="2"/>
            <c:invertIfNegative val="0"/>
            <c:bubble3D val="0"/>
            <c:spPr>
              <a:solidFill>
                <a:schemeClr val="accent1"/>
              </a:solidFill>
              <a:ln>
                <a:noFill/>
              </a:ln>
              <a:effectLst/>
              <a:sp3d/>
            </c:spPr>
            <c:extLst>
              <c:ext xmlns:c16="http://schemas.microsoft.com/office/drawing/2014/chart" uri="{C3380CC4-5D6E-409C-BE32-E72D297353CC}">
                <c16:uniqueId val="{00000004-A3B9-4488-AE09-47163FBC99FF}"/>
              </c:ext>
            </c:extLst>
          </c:dPt>
          <c:dPt>
            <c:idx val="3"/>
            <c:invertIfNegative val="0"/>
            <c:bubble3D val="0"/>
            <c:spPr>
              <a:solidFill>
                <a:schemeClr val="accent1"/>
              </a:solidFill>
              <a:ln>
                <a:noFill/>
              </a:ln>
              <a:effectLst/>
              <a:sp3d/>
            </c:spPr>
            <c:extLst>
              <c:ext xmlns:c16="http://schemas.microsoft.com/office/drawing/2014/chart" uri="{C3380CC4-5D6E-409C-BE32-E72D297353CC}">
                <c16:uniqueId val="{00000005-A3B9-4488-AE09-47163FBC99FF}"/>
              </c:ext>
            </c:extLst>
          </c:dPt>
          <c:dPt>
            <c:idx val="4"/>
            <c:invertIfNegative val="0"/>
            <c:bubble3D val="0"/>
            <c:extLst>
              <c:ext xmlns:c16="http://schemas.microsoft.com/office/drawing/2014/chart" uri="{C3380CC4-5D6E-409C-BE32-E72D297353CC}">
                <c16:uniqueId val="{00000008-086E-4685-91DC-AA602D5F8863}"/>
              </c:ext>
            </c:extLst>
          </c:dPt>
          <c:dLbls>
            <c:dLbl>
              <c:idx val="0"/>
              <c:layout>
                <c:manualLayout>
                  <c:x val="2.5789813023855104E-3"/>
                  <c:y val="-3.603603603603603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3B9-4488-AE09-47163FBC99FF}"/>
                </c:ext>
              </c:extLst>
            </c:dLbl>
            <c:dLbl>
              <c:idx val="1"/>
              <c:layout>
                <c:manualLayout>
                  <c:x val="-4.7280777685490106E-17"/>
                  <c:y val="-2.402402402402402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3B9-4488-AE09-47163FBC99FF}"/>
                </c:ext>
              </c:extLst>
            </c:dLbl>
            <c:dLbl>
              <c:idx val="2"/>
              <c:layout>
                <c:manualLayout>
                  <c:x val="-9.4561555370980212E-17"/>
                  <c:y val="-2.40240240240241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3B9-4488-AE09-47163FBC99FF}"/>
                </c:ext>
              </c:extLst>
            </c:dLbl>
            <c:dLbl>
              <c:idx val="3"/>
              <c:layout>
                <c:manualLayout>
                  <c:x val="0"/>
                  <c:y val="-2.40240240240241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3B9-4488-AE09-47163FBC99F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Pivot!$A$28:$A$32</c:f>
              <c:strCache>
                <c:ptCount val="4"/>
                <c:pt idx="0">
                  <c:v>2021</c:v>
                </c:pt>
                <c:pt idx="1">
                  <c:v>2022</c:v>
                </c:pt>
                <c:pt idx="2">
                  <c:v>2023</c:v>
                </c:pt>
                <c:pt idx="3">
                  <c:v>2024</c:v>
                </c:pt>
              </c:strCache>
            </c:strRef>
          </c:cat>
          <c:val>
            <c:numRef>
              <c:f>Pivot!$B$28:$B$32</c:f>
              <c:numCache>
                <c:formatCode>General</c:formatCode>
                <c:ptCount val="4"/>
                <c:pt idx="0">
                  <c:v>1.6499999999999997E-2</c:v>
                </c:pt>
                <c:pt idx="1">
                  <c:v>1.2499999999999999E-2</c:v>
                </c:pt>
                <c:pt idx="2">
                  <c:v>0</c:v>
                </c:pt>
                <c:pt idx="3">
                  <c:v>0</c:v>
                </c:pt>
              </c:numCache>
            </c:numRef>
          </c:val>
          <c:extLst>
            <c:ext xmlns:c16="http://schemas.microsoft.com/office/drawing/2014/chart" uri="{C3380CC4-5D6E-409C-BE32-E72D297353CC}">
              <c16:uniqueId val="{00000000-A3B9-4488-AE09-47163FBC99FF}"/>
            </c:ext>
          </c:extLst>
        </c:ser>
        <c:dLbls>
          <c:showLegendKey val="0"/>
          <c:showVal val="1"/>
          <c:showCatName val="0"/>
          <c:showSerName val="0"/>
          <c:showPercent val="0"/>
          <c:showBubbleSize val="0"/>
        </c:dLbls>
        <c:gapWidth val="150"/>
        <c:shape val="box"/>
        <c:axId val="1094779631"/>
        <c:axId val="1094780047"/>
        <c:axId val="0"/>
      </c:bar3DChart>
      <c:catAx>
        <c:axId val="1094779631"/>
        <c:scaling>
          <c:orientation val="minMax"/>
        </c:scaling>
        <c:delete val="0"/>
        <c:axPos val="b"/>
        <c:numFmt formatCode="General" sourceLinked="1"/>
        <c:majorTickMark val="none"/>
        <c:minorTickMark val="none"/>
        <c:tickLblPos val="nextTo"/>
        <c:spPr>
          <a:noFill/>
          <a:ln>
            <a:solidFill>
              <a:schemeClr val="lt1">
                <a:shade val="50000"/>
              </a:schemeClr>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94780047"/>
        <c:crosses val="autoZero"/>
        <c:auto val="1"/>
        <c:lblAlgn val="ctr"/>
        <c:lblOffset val="100"/>
        <c:noMultiLvlLbl val="0"/>
      </c:catAx>
      <c:valAx>
        <c:axId val="1094780047"/>
        <c:scaling>
          <c:orientation val="minMax"/>
        </c:scaling>
        <c:delete val="0"/>
        <c:axPos val="l"/>
        <c:numFmt formatCode="General" sourceLinked="1"/>
        <c:majorTickMark val="none"/>
        <c:minorTickMark val="none"/>
        <c:tickLblPos val="nextTo"/>
        <c:spPr>
          <a:noFill/>
          <a:ln>
            <a:solidFill>
              <a:schemeClr val="lt1">
                <a:shade val="50000"/>
              </a:schemeClr>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947796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[Property Financial Analysis V0.12 (Update MixedFruit Data).xlsm]Pivot!Net Rental</c:name>
    <c:fmtId val="4"/>
  </c:pivotSource>
  <c:chart>
    <c:title>
      <c:tx>
        <c:rich>
          <a:bodyPr rot="0" spcFirstLastPara="1" vertOverflow="ellipsis" vert="horz" wrap="square" anchor="ctr" anchorCtr="1"/>
          <a:lstStyle/>
          <a:p>
            <a:pPr algn="ctr" rtl="0">
              <a:defRPr lang="en-US" sz="1400" b="1" i="0" u="none" strike="noStrike" kern="1200" spc="0" baseline="0">
                <a:solidFill>
                  <a:schemeClr val="tx1"/>
                </a:solidFill>
                <a:latin typeface="+mn-lt"/>
                <a:ea typeface="+mn-ea"/>
                <a:cs typeface="+mn-cs"/>
              </a:defRPr>
            </a:pPr>
            <a:r>
              <a:rPr lang="en-US" sz="1400" b="1" i="0" u="none" strike="noStrike" kern="1200" spc="0" baseline="0">
                <a:solidFill>
                  <a:schemeClr val="tx1"/>
                </a:solidFill>
                <a:latin typeface="+mn-lt"/>
                <a:ea typeface="+mn-ea"/>
                <a:cs typeface="+mn-cs"/>
              </a:rPr>
              <a:t>Net Rental Revenues (million) By Year</a:t>
            </a:r>
          </a:p>
        </c:rich>
      </c:tx>
      <c:layout>
        <c:manualLayout>
          <c:xMode val="edge"/>
          <c:yMode val="edge"/>
          <c:x val="0.125578231292517"/>
          <c:y val="3.2407407407407406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809]#,##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Pivot!$B$39</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numFmt formatCode="[$£-809]#,##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Pivot!$A$40:$A$44</c:f>
              <c:strCache>
                <c:ptCount val="4"/>
                <c:pt idx="0">
                  <c:v>2021</c:v>
                </c:pt>
                <c:pt idx="1">
                  <c:v>2022</c:v>
                </c:pt>
                <c:pt idx="2">
                  <c:v>2023</c:v>
                </c:pt>
                <c:pt idx="3">
                  <c:v>2024</c:v>
                </c:pt>
              </c:strCache>
            </c:strRef>
          </c:cat>
          <c:val>
            <c:numRef>
              <c:f>Pivot!$B$40:$B$44</c:f>
              <c:numCache>
                <c:formatCode>General</c:formatCode>
                <c:ptCount val="4"/>
                <c:pt idx="0">
                  <c:v>14.094000000000001</c:v>
                </c:pt>
                <c:pt idx="1">
                  <c:v>14.194000000000001</c:v>
                </c:pt>
                <c:pt idx="2">
                  <c:v>8.42</c:v>
                </c:pt>
                <c:pt idx="3">
                  <c:v>2.1</c:v>
                </c:pt>
              </c:numCache>
            </c:numRef>
          </c:val>
          <c:smooth val="0"/>
          <c:extLst>
            <c:ext xmlns:c16="http://schemas.microsoft.com/office/drawing/2014/chart" uri="{C3380CC4-5D6E-409C-BE32-E72D297353CC}">
              <c16:uniqueId val="{00000000-8A7A-4549-A21E-AD11F01F5D12}"/>
            </c:ext>
          </c:extLst>
        </c:ser>
        <c:dLbls>
          <c:dLblPos val="t"/>
          <c:showLegendKey val="0"/>
          <c:showVal val="1"/>
          <c:showCatName val="0"/>
          <c:showSerName val="0"/>
          <c:showPercent val="0"/>
          <c:showBubbleSize val="0"/>
        </c:dLbls>
        <c:marker val="1"/>
        <c:smooth val="0"/>
        <c:axId val="1321107583"/>
        <c:axId val="1321110495"/>
      </c:lineChart>
      <c:catAx>
        <c:axId val="1321107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21110495"/>
        <c:crosses val="autoZero"/>
        <c:auto val="1"/>
        <c:lblAlgn val="ctr"/>
        <c:lblOffset val="100"/>
        <c:noMultiLvlLbl val="0"/>
      </c:catAx>
      <c:valAx>
        <c:axId val="1321110495"/>
        <c:scaling>
          <c:orientation val="minMax"/>
        </c:scaling>
        <c:delete val="0"/>
        <c:axPos val="l"/>
        <c:numFmt formatCode="General" sourceLinked="1"/>
        <c:majorTickMark val="none"/>
        <c:minorTickMark val="none"/>
        <c:tickLblPos val="nextTo"/>
        <c:spPr>
          <a:noFill/>
          <a:ln>
            <a:solidFill>
              <a:schemeClr val="lt1">
                <a:shade val="50000"/>
              </a:schemeClr>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21107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[Property Financial Analysis V0.12 (Update MixedFruit Data).xlsm]Pivot!Property</c:name>
    <c:fmtId val="4"/>
  </c:pivotSource>
  <c:chart>
    <c:title>
      <c:tx>
        <c:rich>
          <a:bodyPr rot="0" spcFirstLastPara="1" vertOverflow="ellipsis" vert="horz" wrap="square" anchor="t" anchorCtr="1"/>
          <a:lstStyle/>
          <a:p>
            <a:pPr algn="ctr" rtl="0">
              <a:defRPr lang="en-US" sz="1400" b="1" i="0" u="none" strike="noStrike" kern="1200" spc="0" baseline="0">
                <a:solidFill>
                  <a:schemeClr val="tx1"/>
                </a:solidFill>
                <a:latin typeface="+mn-lt"/>
                <a:ea typeface="+mn-ea"/>
                <a:cs typeface="+mn-cs"/>
              </a:defRPr>
            </a:pPr>
            <a:r>
              <a:rPr lang="en-US" sz="1400" b="1" i="0" u="none" strike="noStrike" kern="1200" spc="0" baseline="0">
                <a:solidFill>
                  <a:schemeClr val="tx1"/>
                </a:solidFill>
                <a:latin typeface="+mn-lt"/>
                <a:ea typeface="+mn-ea"/>
                <a:cs typeface="+mn-cs"/>
              </a:rPr>
              <a:t>Property Valution Trends (million) By Year</a:t>
            </a:r>
          </a:p>
        </c:rich>
      </c:tx>
      <c:overlay val="0"/>
      <c:spPr>
        <a:noFill/>
        <a:ln>
          <a:noFill/>
        </a:ln>
        <a:effectLst/>
      </c:spPr>
      <c:txPr>
        <a:bodyPr rot="0" spcFirstLastPara="1" vertOverflow="ellipsis" vert="horz" wrap="square" anchor="t" anchorCtr="1"/>
        <a:lstStyle/>
        <a:p>
          <a:pPr algn="ctr" rtl="0">
            <a:defRPr lang="en-US" sz="1400" b="1" i="0" u="none" strike="noStrike" kern="1200" spc="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2.6337473887011456E-17"/>
              <c:y val="-1.25129193429042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0"/>
              <c:y val="-2.502583868580850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0"/>
              <c:y val="-1.251291934290429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dLbl>
          <c:idx val="0"/>
          <c:layout>
            <c:manualLayout>
              <c:x val="0"/>
              <c:y val="-1.251291934290423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Pivot!$B$51</c:f>
              <c:strCache>
                <c:ptCount val="1"/>
                <c:pt idx="0">
                  <c:v>Total</c:v>
                </c:pt>
              </c:strCache>
            </c:strRef>
          </c:tx>
          <c:spPr>
            <a:solidFill>
              <a:schemeClr val="accent1"/>
            </a:solidFill>
            <a:ln>
              <a:noFill/>
            </a:ln>
            <a:effectLst/>
            <a:sp3d/>
          </c:spPr>
          <c:invertIfNegative val="0"/>
          <c:dPt>
            <c:idx val="0"/>
            <c:invertIfNegative val="0"/>
            <c:bubble3D val="0"/>
            <c:spPr>
              <a:solidFill>
                <a:schemeClr val="accent1"/>
              </a:solidFill>
              <a:ln>
                <a:noFill/>
              </a:ln>
              <a:effectLst/>
              <a:sp3d/>
            </c:spPr>
            <c:extLst>
              <c:ext xmlns:c16="http://schemas.microsoft.com/office/drawing/2014/chart" uri="{C3380CC4-5D6E-409C-BE32-E72D297353CC}">
                <c16:uniqueId val="{00000001-8DC7-4C6F-917F-C02C92F7C391}"/>
              </c:ext>
            </c:extLst>
          </c:dPt>
          <c:dPt>
            <c:idx val="1"/>
            <c:invertIfNegative val="0"/>
            <c:bubble3D val="0"/>
            <c:spPr>
              <a:solidFill>
                <a:schemeClr val="accent1"/>
              </a:solidFill>
              <a:ln>
                <a:noFill/>
              </a:ln>
              <a:effectLst/>
              <a:sp3d/>
            </c:spPr>
            <c:extLst>
              <c:ext xmlns:c16="http://schemas.microsoft.com/office/drawing/2014/chart" uri="{C3380CC4-5D6E-409C-BE32-E72D297353CC}">
                <c16:uniqueId val="{00000002-8DC7-4C6F-917F-C02C92F7C391}"/>
              </c:ext>
            </c:extLst>
          </c:dPt>
          <c:dPt>
            <c:idx val="2"/>
            <c:invertIfNegative val="0"/>
            <c:bubble3D val="0"/>
            <c:spPr>
              <a:solidFill>
                <a:schemeClr val="accent1"/>
              </a:solidFill>
              <a:ln>
                <a:noFill/>
              </a:ln>
              <a:effectLst/>
              <a:sp3d/>
            </c:spPr>
            <c:extLst>
              <c:ext xmlns:c16="http://schemas.microsoft.com/office/drawing/2014/chart" uri="{C3380CC4-5D6E-409C-BE32-E72D297353CC}">
                <c16:uniqueId val="{00000003-8DC7-4C6F-917F-C02C92F7C391}"/>
              </c:ext>
            </c:extLst>
          </c:dPt>
          <c:dPt>
            <c:idx val="3"/>
            <c:invertIfNegative val="0"/>
            <c:bubble3D val="0"/>
            <c:spPr>
              <a:solidFill>
                <a:schemeClr val="accent1"/>
              </a:solidFill>
              <a:ln>
                <a:noFill/>
              </a:ln>
              <a:effectLst/>
              <a:sp3d/>
            </c:spPr>
            <c:extLst>
              <c:ext xmlns:c16="http://schemas.microsoft.com/office/drawing/2014/chart" uri="{C3380CC4-5D6E-409C-BE32-E72D297353CC}">
                <c16:uniqueId val="{00000004-8DC7-4C6F-917F-C02C92F7C391}"/>
              </c:ext>
            </c:extLst>
          </c:dPt>
          <c:dLbls>
            <c:dLbl>
              <c:idx val="0"/>
              <c:layout>
                <c:manualLayout>
                  <c:x val="-2.6337473887011456E-17"/>
                  <c:y val="-1.251291934290426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DC7-4C6F-917F-C02C92F7C391}"/>
                </c:ext>
              </c:extLst>
            </c:dLbl>
            <c:dLbl>
              <c:idx val="1"/>
              <c:layout>
                <c:manualLayout>
                  <c:x val="0"/>
                  <c:y val="-2.50258386858085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DC7-4C6F-917F-C02C92F7C391}"/>
                </c:ext>
              </c:extLst>
            </c:dLbl>
            <c:dLbl>
              <c:idx val="2"/>
              <c:layout>
                <c:manualLayout>
                  <c:x val="0"/>
                  <c:y val="-1.251291934290429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DC7-4C6F-917F-C02C92F7C391}"/>
                </c:ext>
              </c:extLst>
            </c:dLbl>
            <c:dLbl>
              <c:idx val="3"/>
              <c:layout>
                <c:manualLayout>
                  <c:x val="0"/>
                  <c:y val="-1.251291934290423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DC7-4C6F-917F-C02C92F7C39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Pivot!$A$52:$A$56</c:f>
              <c:strCache>
                <c:ptCount val="4"/>
                <c:pt idx="0">
                  <c:v>2021</c:v>
                </c:pt>
                <c:pt idx="1">
                  <c:v>2022</c:v>
                </c:pt>
                <c:pt idx="2">
                  <c:v>2023</c:v>
                </c:pt>
                <c:pt idx="3">
                  <c:v>2024</c:v>
                </c:pt>
              </c:strCache>
            </c:strRef>
          </c:cat>
          <c:val>
            <c:numRef>
              <c:f>Pivot!$B$52:$B$56</c:f>
              <c:numCache>
                <c:formatCode>General</c:formatCode>
                <c:ptCount val="4"/>
                <c:pt idx="0">
                  <c:v>183.82</c:v>
                </c:pt>
                <c:pt idx="1">
                  <c:v>188.96</c:v>
                </c:pt>
                <c:pt idx="2">
                  <c:v>98.58</c:v>
                </c:pt>
                <c:pt idx="3">
                  <c:v>25.65</c:v>
                </c:pt>
              </c:numCache>
            </c:numRef>
          </c:val>
          <c:extLst>
            <c:ext xmlns:c16="http://schemas.microsoft.com/office/drawing/2014/chart" uri="{C3380CC4-5D6E-409C-BE32-E72D297353CC}">
              <c16:uniqueId val="{00000000-0AC8-4DC0-9AF0-A94438B6C812}"/>
            </c:ext>
          </c:extLst>
        </c:ser>
        <c:dLbls>
          <c:showLegendKey val="0"/>
          <c:showVal val="1"/>
          <c:showCatName val="0"/>
          <c:showSerName val="0"/>
          <c:showPercent val="0"/>
          <c:showBubbleSize val="0"/>
        </c:dLbls>
        <c:gapWidth val="150"/>
        <c:shape val="box"/>
        <c:axId val="1094768399"/>
        <c:axId val="1094772143"/>
        <c:axId val="0"/>
      </c:bar3DChart>
      <c:catAx>
        <c:axId val="1094768399"/>
        <c:scaling>
          <c:orientation val="minMax"/>
        </c:scaling>
        <c:delete val="0"/>
        <c:axPos val="b"/>
        <c:numFmt formatCode="General" sourceLinked="1"/>
        <c:majorTickMark val="none"/>
        <c:minorTickMark val="none"/>
        <c:tickLblPos val="nextTo"/>
        <c:spPr>
          <a:noFill/>
          <a:ln>
            <a:solidFill>
              <a:schemeClr val="lt1">
                <a:shade val="50000"/>
              </a:schemeClr>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94772143"/>
        <c:crosses val="autoZero"/>
        <c:auto val="1"/>
        <c:lblAlgn val="ctr"/>
        <c:lblOffset val="100"/>
        <c:noMultiLvlLbl val="0"/>
      </c:catAx>
      <c:valAx>
        <c:axId val="1094772143"/>
        <c:scaling>
          <c:orientation val="minMax"/>
        </c:scaling>
        <c:delete val="0"/>
        <c:axPos val="l"/>
        <c:numFmt formatCode="General" sourceLinked="1"/>
        <c:majorTickMark val="none"/>
        <c:minorTickMark val="none"/>
        <c:tickLblPos val="nextTo"/>
        <c:spPr>
          <a:noFill/>
          <a:ln>
            <a:solidFill>
              <a:schemeClr val="lt1">
                <a:shade val="50000"/>
              </a:schemeClr>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947683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[Property Financial Analysis V0.12 (Update MixedFruit Data).xlsm]Pivot!Valuation</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c:f>
              <c:strCache>
                <c:ptCount val="1"/>
                <c:pt idx="0">
                  <c:v>Total</c:v>
                </c:pt>
              </c:strCache>
            </c:strRef>
          </c:tx>
          <c:spPr>
            <a:solidFill>
              <a:schemeClr val="accent1"/>
            </a:solidFill>
            <a:ln>
              <a:noFill/>
            </a:ln>
            <a:effectLst/>
          </c:spPr>
          <c:invertIfNegative val="0"/>
          <c:cat>
            <c:strRef>
              <c:f>Pivot!$A$4:$A$8</c:f>
              <c:strCache>
                <c:ptCount val="4"/>
                <c:pt idx="0">
                  <c:v>2021</c:v>
                </c:pt>
                <c:pt idx="1">
                  <c:v>2022</c:v>
                </c:pt>
                <c:pt idx="2">
                  <c:v>2023</c:v>
                </c:pt>
                <c:pt idx="3">
                  <c:v>2024</c:v>
                </c:pt>
              </c:strCache>
            </c:strRef>
          </c:cat>
          <c:val>
            <c:numRef>
              <c:f>Pivot!$B$4:$B$8</c:f>
              <c:numCache>
                <c:formatCode>General</c:formatCode>
                <c:ptCount val="4"/>
                <c:pt idx="0">
                  <c:v>276.64999999999998</c:v>
                </c:pt>
                <c:pt idx="1">
                  <c:v>180.09</c:v>
                </c:pt>
                <c:pt idx="2">
                  <c:v>74.099999999999994</c:v>
                </c:pt>
                <c:pt idx="3">
                  <c:v>42.5</c:v>
                </c:pt>
              </c:numCache>
            </c:numRef>
          </c:val>
          <c:extLst>
            <c:ext xmlns:c16="http://schemas.microsoft.com/office/drawing/2014/chart" uri="{C3380CC4-5D6E-409C-BE32-E72D297353CC}">
              <c16:uniqueId val="{00000001-0219-47B9-B644-56FBB6A96456}"/>
            </c:ext>
          </c:extLst>
        </c:ser>
        <c:dLbls>
          <c:showLegendKey val="0"/>
          <c:showVal val="0"/>
          <c:showCatName val="0"/>
          <c:showSerName val="0"/>
          <c:showPercent val="0"/>
          <c:showBubbleSize val="0"/>
        </c:dLbls>
        <c:gapWidth val="219"/>
        <c:overlap val="-27"/>
        <c:axId val="1094773391"/>
        <c:axId val="1094769647"/>
      </c:barChart>
      <c:catAx>
        <c:axId val="10947733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4769647"/>
        <c:crosses val="autoZero"/>
        <c:auto val="1"/>
        <c:lblAlgn val="ctr"/>
        <c:lblOffset val="100"/>
        <c:noMultiLvlLbl val="0"/>
      </c:catAx>
      <c:valAx>
        <c:axId val="10947696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47733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[Property Financial Analysis V0.12 (Update MixedFruit Data).xlsm]Pivot!Occupacy</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Pivot!$A$16:$A$20</c:f>
              <c:strCache>
                <c:ptCount val="4"/>
                <c:pt idx="0">
                  <c:v>2021</c:v>
                </c:pt>
                <c:pt idx="1">
                  <c:v>2022</c:v>
                </c:pt>
                <c:pt idx="2">
                  <c:v>2023</c:v>
                </c:pt>
                <c:pt idx="3">
                  <c:v>2024</c:v>
                </c:pt>
              </c:strCache>
            </c:strRef>
          </c:cat>
          <c:val>
            <c:numRef>
              <c:f>Pivot!$B$16:$B$20</c:f>
              <c:numCache>
                <c:formatCode>0.0%</c:formatCode>
                <c:ptCount val="4"/>
                <c:pt idx="0">
                  <c:v>0.76250000000000007</c:v>
                </c:pt>
                <c:pt idx="1">
                  <c:v>0.68</c:v>
                </c:pt>
                <c:pt idx="2">
                  <c:v>0.59</c:v>
                </c:pt>
                <c:pt idx="3">
                  <c:v>0.48</c:v>
                </c:pt>
              </c:numCache>
            </c:numRef>
          </c:val>
          <c:extLst>
            <c:ext xmlns:c16="http://schemas.microsoft.com/office/drawing/2014/chart" uri="{C3380CC4-5D6E-409C-BE32-E72D297353CC}">
              <c16:uniqueId val="{00000000-1F17-49C9-82DF-DB7856FB8B0B}"/>
            </c:ext>
          </c:extLst>
        </c:ser>
        <c:dLbls>
          <c:dLblPos val="outEnd"/>
          <c:showLegendKey val="0"/>
          <c:showVal val="1"/>
          <c:showCatName val="0"/>
          <c:showSerName val="0"/>
          <c:showPercent val="0"/>
          <c:showBubbleSize val="0"/>
        </c:dLbls>
        <c:gapWidth val="219"/>
        <c:overlap val="-27"/>
        <c:axId val="1094765903"/>
        <c:axId val="1094762991"/>
      </c:barChart>
      <c:catAx>
        <c:axId val="1094765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4762991"/>
        <c:crosses val="autoZero"/>
        <c:auto val="1"/>
        <c:lblAlgn val="ctr"/>
        <c:lblOffset val="100"/>
        <c:noMultiLvlLbl val="0"/>
      </c:catAx>
      <c:valAx>
        <c:axId val="1094762991"/>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47659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[Property Financial Analysis V0.12 (Update MixedFruit Data).xlsm]Pivot!Distribution</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Pivot!$B$27</c:f>
              <c:strCache>
                <c:ptCount val="1"/>
                <c:pt idx="0">
                  <c:v>Total</c:v>
                </c:pt>
              </c:strCache>
            </c:strRef>
          </c:tx>
          <c:spPr>
            <a:solidFill>
              <a:schemeClr val="accent1"/>
            </a:solidFill>
            <a:ln>
              <a:noFill/>
            </a:ln>
            <a:effectLst/>
          </c:spPr>
          <c:invertIfNegative val="0"/>
          <c:cat>
            <c:strRef>
              <c:f>Pivot!$A$28:$A$32</c:f>
              <c:strCache>
                <c:ptCount val="4"/>
                <c:pt idx="0">
                  <c:v>2021</c:v>
                </c:pt>
                <c:pt idx="1">
                  <c:v>2022</c:v>
                </c:pt>
                <c:pt idx="2">
                  <c:v>2023</c:v>
                </c:pt>
                <c:pt idx="3">
                  <c:v>2024</c:v>
                </c:pt>
              </c:strCache>
            </c:strRef>
          </c:cat>
          <c:val>
            <c:numRef>
              <c:f>Pivot!$B$28:$B$32</c:f>
              <c:numCache>
                <c:formatCode>General</c:formatCode>
                <c:ptCount val="4"/>
                <c:pt idx="0">
                  <c:v>1.6499999999999997E-2</c:v>
                </c:pt>
                <c:pt idx="1">
                  <c:v>1.2499999999999999E-2</c:v>
                </c:pt>
                <c:pt idx="2">
                  <c:v>0</c:v>
                </c:pt>
                <c:pt idx="3">
                  <c:v>0</c:v>
                </c:pt>
              </c:numCache>
            </c:numRef>
          </c:val>
          <c:extLst>
            <c:ext xmlns:c16="http://schemas.microsoft.com/office/drawing/2014/chart" uri="{C3380CC4-5D6E-409C-BE32-E72D297353CC}">
              <c16:uniqueId val="{00000000-005D-4C54-B9F4-815AC98F82C4}"/>
            </c:ext>
          </c:extLst>
        </c:ser>
        <c:dLbls>
          <c:showLegendKey val="0"/>
          <c:showVal val="0"/>
          <c:showCatName val="0"/>
          <c:showSerName val="0"/>
          <c:showPercent val="0"/>
          <c:showBubbleSize val="0"/>
        </c:dLbls>
        <c:gapWidth val="219"/>
        <c:overlap val="-27"/>
        <c:axId val="1094779631"/>
        <c:axId val="1094780047"/>
      </c:barChart>
      <c:catAx>
        <c:axId val="1094779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4780047"/>
        <c:crosses val="autoZero"/>
        <c:auto val="1"/>
        <c:lblAlgn val="ctr"/>
        <c:lblOffset val="100"/>
        <c:noMultiLvlLbl val="0"/>
      </c:catAx>
      <c:valAx>
        <c:axId val="10947800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47796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[Property Financial Analysis V0.12 (Update MixedFruit Data).xlsm]Pivot!Net Rental</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Pivot!$B$39</c:f>
              <c:strCache>
                <c:ptCount val="1"/>
                <c:pt idx="0">
                  <c:v>Total</c:v>
                </c:pt>
              </c:strCache>
            </c:strRef>
          </c:tx>
          <c:spPr>
            <a:ln w="28575" cap="rnd">
              <a:solidFill>
                <a:schemeClr val="accent1"/>
              </a:solidFill>
              <a:round/>
            </a:ln>
            <a:effectLst/>
          </c:spPr>
          <c:marker>
            <c:symbol val="none"/>
          </c:marker>
          <c:cat>
            <c:strRef>
              <c:f>Pivot!$A$40:$A$44</c:f>
              <c:strCache>
                <c:ptCount val="4"/>
                <c:pt idx="0">
                  <c:v>2021</c:v>
                </c:pt>
                <c:pt idx="1">
                  <c:v>2022</c:v>
                </c:pt>
                <c:pt idx="2">
                  <c:v>2023</c:v>
                </c:pt>
                <c:pt idx="3">
                  <c:v>2024</c:v>
                </c:pt>
              </c:strCache>
            </c:strRef>
          </c:cat>
          <c:val>
            <c:numRef>
              <c:f>Pivot!$B$40:$B$44</c:f>
              <c:numCache>
                <c:formatCode>General</c:formatCode>
                <c:ptCount val="4"/>
                <c:pt idx="0">
                  <c:v>14.094000000000001</c:v>
                </c:pt>
                <c:pt idx="1">
                  <c:v>14.194000000000001</c:v>
                </c:pt>
                <c:pt idx="2">
                  <c:v>8.42</c:v>
                </c:pt>
                <c:pt idx="3">
                  <c:v>2.1</c:v>
                </c:pt>
              </c:numCache>
            </c:numRef>
          </c:val>
          <c:smooth val="0"/>
          <c:extLst>
            <c:ext xmlns:c16="http://schemas.microsoft.com/office/drawing/2014/chart" uri="{C3380CC4-5D6E-409C-BE32-E72D297353CC}">
              <c16:uniqueId val="{00000000-B62B-4217-9F0A-A016A1BD27B8}"/>
            </c:ext>
          </c:extLst>
        </c:ser>
        <c:dLbls>
          <c:showLegendKey val="0"/>
          <c:showVal val="0"/>
          <c:showCatName val="0"/>
          <c:showSerName val="0"/>
          <c:showPercent val="0"/>
          <c:showBubbleSize val="0"/>
        </c:dLbls>
        <c:smooth val="0"/>
        <c:axId val="1321107583"/>
        <c:axId val="1321110495"/>
      </c:lineChart>
      <c:catAx>
        <c:axId val="1321107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110495"/>
        <c:crosses val="autoZero"/>
        <c:auto val="1"/>
        <c:lblAlgn val="ctr"/>
        <c:lblOffset val="100"/>
        <c:noMultiLvlLbl val="0"/>
      </c:catAx>
      <c:valAx>
        <c:axId val="13211104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1075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[Property Financial Analysis V0.12 (Update MixedFruit Data).xlsm]Pivot!Property</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Pivot!$B$51</c:f>
              <c:strCache>
                <c:ptCount val="1"/>
                <c:pt idx="0">
                  <c:v>Total</c:v>
                </c:pt>
              </c:strCache>
            </c:strRef>
          </c:tx>
          <c:spPr>
            <a:solidFill>
              <a:schemeClr val="accent1"/>
            </a:solidFill>
            <a:ln>
              <a:noFill/>
            </a:ln>
            <a:effectLst/>
          </c:spPr>
          <c:invertIfNegative val="0"/>
          <c:cat>
            <c:strRef>
              <c:f>Pivot!$A$52:$A$56</c:f>
              <c:strCache>
                <c:ptCount val="4"/>
                <c:pt idx="0">
                  <c:v>2021</c:v>
                </c:pt>
                <c:pt idx="1">
                  <c:v>2022</c:v>
                </c:pt>
                <c:pt idx="2">
                  <c:v>2023</c:v>
                </c:pt>
                <c:pt idx="3">
                  <c:v>2024</c:v>
                </c:pt>
              </c:strCache>
            </c:strRef>
          </c:cat>
          <c:val>
            <c:numRef>
              <c:f>Pivot!$B$52:$B$56</c:f>
              <c:numCache>
                <c:formatCode>General</c:formatCode>
                <c:ptCount val="4"/>
                <c:pt idx="0">
                  <c:v>183.82</c:v>
                </c:pt>
                <c:pt idx="1">
                  <c:v>188.96</c:v>
                </c:pt>
                <c:pt idx="2">
                  <c:v>98.58</c:v>
                </c:pt>
                <c:pt idx="3">
                  <c:v>25.65</c:v>
                </c:pt>
              </c:numCache>
            </c:numRef>
          </c:val>
          <c:extLst>
            <c:ext xmlns:c16="http://schemas.microsoft.com/office/drawing/2014/chart" uri="{C3380CC4-5D6E-409C-BE32-E72D297353CC}">
              <c16:uniqueId val="{00000000-A9A9-4D25-937F-5FB4435FACF2}"/>
            </c:ext>
          </c:extLst>
        </c:ser>
        <c:dLbls>
          <c:showLegendKey val="0"/>
          <c:showVal val="0"/>
          <c:showCatName val="0"/>
          <c:showSerName val="0"/>
          <c:showPercent val="0"/>
          <c:showBubbleSize val="0"/>
        </c:dLbls>
        <c:gapWidth val="219"/>
        <c:overlap val="-27"/>
        <c:axId val="1094768399"/>
        <c:axId val="1094772143"/>
      </c:barChart>
      <c:catAx>
        <c:axId val="1094768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4772143"/>
        <c:crosses val="autoZero"/>
        <c:auto val="1"/>
        <c:lblAlgn val="ctr"/>
        <c:lblOffset val="100"/>
        <c:noMultiLvlLbl val="0"/>
      </c:catAx>
      <c:valAx>
        <c:axId val="10947721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4768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[Property Financial Analysis V0.12 (Update MixedFruit Data).xlsm]Pivot!Range</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Pivot!$B$63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1C2-43F3-B74E-9CDC2485273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1C2-43F3-B74E-9CDC2485273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1C2-43F3-B74E-9CDC2485273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1C2-43F3-B74E-9CDC2485273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1C2-43F3-B74E-9CDC2485273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1C2-43F3-B74E-9CDC2485273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1C2-43F3-B74E-9CDC24852731}"/>
              </c:ext>
            </c:extLst>
          </c:dPt>
          <c:cat>
            <c:strRef>
              <c:f>Pivot!$A$64:$A$71</c:f>
              <c:strCache>
                <c:ptCount val="7"/>
                <c:pt idx="0">
                  <c:v>0 To 4 Yrs</c:v>
                </c:pt>
                <c:pt idx="1">
                  <c:v>5 To 7 Yrs</c:v>
                </c:pt>
                <c:pt idx="2">
                  <c:v>8 To 15 Yrs</c:v>
                </c:pt>
                <c:pt idx="3">
                  <c:v>0 To 3 Yrs</c:v>
                </c:pt>
                <c:pt idx="4">
                  <c:v>3 To 5 Yrs</c:v>
                </c:pt>
                <c:pt idx="5">
                  <c:v>5 To 10 Yrs</c:v>
                </c:pt>
                <c:pt idx="6">
                  <c:v>10 To 15 Yrs</c:v>
                </c:pt>
              </c:strCache>
            </c:strRef>
          </c:cat>
          <c:val>
            <c:numRef>
              <c:f>Pivot!$B$64:$B$71</c:f>
              <c:numCache>
                <c:formatCode>General</c:formatCode>
                <c:ptCount val="7"/>
                <c:pt idx="0">
                  <c:v>0.47981111111111108</c:v>
                </c:pt>
                <c:pt idx="1">
                  <c:v>0.14966250000000003</c:v>
                </c:pt>
                <c:pt idx="2">
                  <c:v>0.36736363636363634</c:v>
                </c:pt>
                <c:pt idx="3">
                  <c:v>0.48</c:v>
                </c:pt>
                <c:pt idx="4">
                  <c:v>0.12</c:v>
                </c:pt>
                <c:pt idx="5">
                  <c:v>0.13</c:v>
                </c:pt>
                <c:pt idx="6">
                  <c:v>0.27</c:v>
                </c:pt>
              </c:numCache>
            </c:numRef>
          </c:val>
          <c:extLst>
            <c:ext xmlns:c16="http://schemas.microsoft.com/office/drawing/2014/chart" uri="{C3380CC4-5D6E-409C-BE32-E72D297353CC}">
              <c16:uniqueId val="{00000000-7079-40EE-9FE4-4B5E2B45EAA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[Property Financial Analysis V0.12 (Update MixedFruit Data).xlsm]Pivot!Contributor</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Pivot!$B$78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750-4BBC-B775-D94C77F5113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750-4BBC-B775-D94C77F5113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750-4BBC-B775-D94C77F5113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750-4BBC-B775-D94C77F5113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750-4BBC-B775-D94C77F5113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750-4BBC-B775-D94C77F5113A}"/>
              </c:ext>
            </c:extLst>
          </c:dPt>
          <c:cat>
            <c:strRef>
              <c:f>Pivot!$A$79:$A$85</c:f>
              <c:strCache>
                <c:ptCount val="6"/>
                <c:pt idx="0">
                  <c:v>Costain</c:v>
                </c:pt>
                <c:pt idx="1">
                  <c:v>Emirates</c:v>
                </c:pt>
                <c:pt idx="2">
                  <c:v>Hasbro</c:v>
                </c:pt>
                <c:pt idx="3">
                  <c:v>HIKVision</c:v>
                </c:pt>
                <c:pt idx="4">
                  <c:v>PZ Cussons</c:v>
                </c:pt>
                <c:pt idx="5">
                  <c:v>Regus</c:v>
                </c:pt>
              </c:strCache>
            </c:strRef>
          </c:cat>
          <c:val>
            <c:numRef>
              <c:f>Pivot!$B$79:$B$85</c:f>
              <c:numCache>
                <c:formatCode>General</c:formatCode>
                <c:ptCount val="6"/>
                <c:pt idx="0">
                  <c:v>744471</c:v>
                </c:pt>
                <c:pt idx="1">
                  <c:v>423774</c:v>
                </c:pt>
                <c:pt idx="2">
                  <c:v>1604096</c:v>
                </c:pt>
                <c:pt idx="3">
                  <c:v>676896</c:v>
                </c:pt>
                <c:pt idx="4">
                  <c:v>823830</c:v>
                </c:pt>
                <c:pt idx="5">
                  <c:v>1087531</c:v>
                </c:pt>
              </c:numCache>
            </c:numRef>
          </c:val>
          <c:extLst>
            <c:ext xmlns:c16="http://schemas.microsoft.com/office/drawing/2014/chart" uri="{C3380CC4-5D6E-409C-BE32-E72D297353CC}">
              <c16:uniqueId val="{00000000-02C9-4058-84F7-44D35634ACF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editAs="absolute">
    <xdr:from>
      <xdr:col>0</xdr:col>
      <xdr:colOff>171451</xdr:colOff>
      <xdr:row>4</xdr:row>
      <xdr:rowOff>114925</xdr:rowOff>
    </xdr:from>
    <xdr:to>
      <xdr:col>7</xdr:col>
      <xdr:colOff>242618</xdr:colOff>
      <xdr:row>9</xdr:row>
      <xdr:rowOff>89859</xdr:rowOff>
    </xdr:to>
    <mc:AlternateContent xmlns:mc="http://schemas.openxmlformats.org/markup-compatibility/2006" xmlns:a14="http://schemas.microsoft.com/office/drawing/2010/main">
      <mc:Choice Requires="a14">
        <xdr:graphicFrame macro="">
          <xdr:nvGraphicFramePr>
            <xdr:cNvPr id="2" name="Company">
              <a:extLst>
                <a:ext uri="{FF2B5EF4-FFF2-40B4-BE49-F238E27FC236}">
                  <a16:creationId xmlns:a16="http://schemas.microsoft.com/office/drawing/2014/main" id="{890BF009-2A96-4563-84BF-CBB69DEE34B9}"/>
                </a:ext>
              </a:extLst>
            </xdr:cNvPr>
            <xdr:cNvGraphicFramePr/>
          </xdr:nvGraphicFramePr>
          <xdr:xfrm>
            <a:off x="0" y="0"/>
            <a:ext cx="0" cy="0"/>
          </xdr:xfrm>
          <a:graphic>
            <a:graphicData uri="http://schemas.microsoft.com/office/drawing/2010/slicer">
              <sle:slicer xmlns:sle="http://schemas.microsoft.com/office/drawing/2010/slicer" name="Company"/>
            </a:graphicData>
          </a:graphic>
        </xdr:graphicFrame>
      </mc:Choice>
      <mc:Fallback xmlns="">
        <xdr:sp macro="" textlink="">
          <xdr:nvSpPr>
            <xdr:cNvPr id="0" name=""/>
            <xdr:cNvSpPr>
              <a:spLocks noTextEdit="1"/>
            </xdr:cNvSpPr>
          </xdr:nvSpPr>
          <xdr:spPr>
            <a:xfrm>
              <a:off x="171451" y="876925"/>
              <a:ext cx="4319317" cy="9274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171449</xdr:colOff>
      <xdr:row>2</xdr:row>
      <xdr:rowOff>75144</xdr:rowOff>
    </xdr:from>
    <xdr:to>
      <xdr:col>7</xdr:col>
      <xdr:colOff>233633</xdr:colOff>
      <xdr:row>4</xdr:row>
      <xdr:rowOff>46570</xdr:rowOff>
    </xdr:to>
    <xdr:sp macro="" textlink="">
      <xdr:nvSpPr>
        <xdr:cNvPr id="3" name="TextBox 2">
          <a:extLst>
            <a:ext uri="{FF2B5EF4-FFF2-40B4-BE49-F238E27FC236}">
              <a16:creationId xmlns:a16="http://schemas.microsoft.com/office/drawing/2014/main" id="{5781DB50-E430-4CB2-80DC-665A88022423}"/>
            </a:ext>
          </a:extLst>
        </xdr:cNvPr>
        <xdr:cNvSpPr txBox="1"/>
      </xdr:nvSpPr>
      <xdr:spPr>
        <a:xfrm>
          <a:off x="171449" y="452550"/>
          <a:ext cx="4321476" cy="348831"/>
        </a:xfrm>
        <a:prstGeom prst="rect">
          <a:avLst/>
        </a:prstGeom>
        <a:solidFill>
          <a:schemeClr val="accent1">
            <a:lumMod val="40000"/>
            <a:lumOff val="60000"/>
          </a:schemeClr>
        </a:solidFill>
        <a:ln w="9525" cmpd="sng">
          <a:solidFill>
            <a:schemeClr val="lt1">
              <a:shade val="50000"/>
            </a:schemeClr>
          </a:solid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Company</a:t>
          </a:r>
        </a:p>
      </xdr:txBody>
    </xdr:sp>
    <xdr:clientData/>
  </xdr:twoCellAnchor>
  <xdr:twoCellAnchor editAs="absolute">
    <xdr:from>
      <xdr:col>7</xdr:col>
      <xdr:colOff>332478</xdr:colOff>
      <xdr:row>4</xdr:row>
      <xdr:rowOff>123372</xdr:rowOff>
    </xdr:from>
    <xdr:to>
      <xdr:col>14</xdr:col>
      <xdr:colOff>152759</xdr:colOff>
      <xdr:row>9</xdr:row>
      <xdr:rowOff>94797</xdr:rowOff>
    </xdr:to>
    <mc:AlternateContent xmlns:mc="http://schemas.openxmlformats.org/markup-compatibility/2006" xmlns:a14="http://schemas.microsoft.com/office/drawing/2010/main">
      <mc:Choice Requires="a14">
        <xdr:graphicFrame macro="">
          <xdr:nvGraphicFramePr>
            <xdr:cNvPr id="4" name="Date">
              <a:extLst>
                <a:ext uri="{FF2B5EF4-FFF2-40B4-BE49-F238E27FC236}">
                  <a16:creationId xmlns:a16="http://schemas.microsoft.com/office/drawing/2014/main" id="{3E2CF0ED-07DA-40A4-A08D-C9B78DADF9F8}"/>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4580628" y="885372"/>
              <a:ext cx="4087481" cy="923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323491</xdr:colOff>
      <xdr:row>2</xdr:row>
      <xdr:rowOff>76825</xdr:rowOff>
    </xdr:from>
    <xdr:to>
      <xdr:col>14</xdr:col>
      <xdr:colOff>143773</xdr:colOff>
      <xdr:row>4</xdr:row>
      <xdr:rowOff>48250</xdr:rowOff>
    </xdr:to>
    <xdr:sp macro="" textlink="">
      <xdr:nvSpPr>
        <xdr:cNvPr id="5" name="TextBox 4">
          <a:extLst>
            <a:ext uri="{FF2B5EF4-FFF2-40B4-BE49-F238E27FC236}">
              <a16:creationId xmlns:a16="http://schemas.microsoft.com/office/drawing/2014/main" id="{3A7D3D72-1909-4A03-A18B-F3CBAF710DEE}"/>
            </a:ext>
          </a:extLst>
        </xdr:cNvPr>
        <xdr:cNvSpPr txBox="1"/>
      </xdr:nvSpPr>
      <xdr:spPr>
        <a:xfrm>
          <a:off x="4582783" y="454231"/>
          <a:ext cx="4097547" cy="348830"/>
        </a:xfrm>
        <a:prstGeom prst="rect">
          <a:avLst/>
        </a:prstGeom>
        <a:solidFill>
          <a:schemeClr val="accent1">
            <a:lumMod val="40000"/>
            <a:lumOff val="60000"/>
          </a:schemeClr>
        </a:solidFill>
        <a:ln w="9525" cmpd="sng">
          <a:solidFill>
            <a:schemeClr val="lt1">
              <a:shade val="50000"/>
            </a:schemeClr>
          </a:solid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Year</a:t>
          </a:r>
        </a:p>
      </xdr:txBody>
    </xdr:sp>
    <xdr:clientData/>
  </xdr:twoCellAnchor>
  <xdr:twoCellAnchor editAs="absolute">
    <xdr:from>
      <xdr:col>0</xdr:col>
      <xdr:colOff>161925</xdr:colOff>
      <xdr:row>10</xdr:row>
      <xdr:rowOff>14568</xdr:rowOff>
    </xdr:from>
    <xdr:to>
      <xdr:col>6</xdr:col>
      <xdr:colOff>219075</xdr:colOff>
      <xdr:row>20</xdr:row>
      <xdr:rowOff>71718</xdr:rowOff>
    </xdr:to>
    <xdr:graphicFrame macro="">
      <xdr:nvGraphicFramePr>
        <xdr:cNvPr id="7" name="Chart 6">
          <a:extLst>
            <a:ext uri="{FF2B5EF4-FFF2-40B4-BE49-F238E27FC236}">
              <a16:creationId xmlns:a16="http://schemas.microsoft.com/office/drawing/2014/main" id="{331863D7-23F2-48F1-A2A7-A9F9854832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314325</xdr:colOff>
      <xdr:row>10</xdr:row>
      <xdr:rowOff>1682</xdr:rowOff>
    </xdr:from>
    <xdr:to>
      <xdr:col>15</xdr:col>
      <xdr:colOff>304800</xdr:colOff>
      <xdr:row>20</xdr:row>
      <xdr:rowOff>81244</xdr:rowOff>
    </xdr:to>
    <xdr:graphicFrame macro="">
      <xdr:nvGraphicFramePr>
        <xdr:cNvPr id="8" name="Chart 7">
          <a:extLst>
            <a:ext uri="{FF2B5EF4-FFF2-40B4-BE49-F238E27FC236}">
              <a16:creationId xmlns:a16="http://schemas.microsoft.com/office/drawing/2014/main" id="{B079B55F-C4FE-4003-84A0-2E325B049C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523876</xdr:colOff>
      <xdr:row>21</xdr:row>
      <xdr:rowOff>16437</xdr:rowOff>
    </xdr:from>
    <xdr:to>
      <xdr:col>19</xdr:col>
      <xdr:colOff>9524</xdr:colOff>
      <xdr:row>30</xdr:row>
      <xdr:rowOff>163970</xdr:rowOff>
    </xdr:to>
    <xdr:graphicFrame macro="">
      <xdr:nvGraphicFramePr>
        <xdr:cNvPr id="9" name="Chart 8">
          <a:extLst>
            <a:ext uri="{FF2B5EF4-FFF2-40B4-BE49-F238E27FC236}">
              <a16:creationId xmlns:a16="http://schemas.microsoft.com/office/drawing/2014/main" id="{2D714600-B87B-419D-B250-8C655896B1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19</xdr:col>
      <xdr:colOff>66675</xdr:colOff>
      <xdr:row>21</xdr:row>
      <xdr:rowOff>15923</xdr:rowOff>
    </xdr:from>
    <xdr:to>
      <xdr:col>23</xdr:col>
      <xdr:colOff>457200</xdr:colOff>
      <xdr:row>30</xdr:row>
      <xdr:rowOff>163945</xdr:rowOff>
    </xdr:to>
    <xdr:graphicFrame macro="">
      <xdr:nvGraphicFramePr>
        <xdr:cNvPr id="10" name="Chart 9">
          <a:extLst>
            <a:ext uri="{FF2B5EF4-FFF2-40B4-BE49-F238E27FC236}">
              <a16:creationId xmlns:a16="http://schemas.microsoft.com/office/drawing/2014/main" id="{FAE4F100-10DA-428E-B255-FE499E0153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15</xdr:col>
      <xdr:colOff>400050</xdr:colOff>
      <xdr:row>9</xdr:row>
      <xdr:rowOff>190499</xdr:rowOff>
    </xdr:from>
    <xdr:to>
      <xdr:col>23</xdr:col>
      <xdr:colOff>447675</xdr:colOff>
      <xdr:row>20</xdr:row>
      <xdr:rowOff>84605</xdr:rowOff>
    </xdr:to>
    <xdr:graphicFrame macro="">
      <xdr:nvGraphicFramePr>
        <xdr:cNvPr id="12" name="Chart 11">
          <a:extLst>
            <a:ext uri="{FF2B5EF4-FFF2-40B4-BE49-F238E27FC236}">
              <a16:creationId xmlns:a16="http://schemas.microsoft.com/office/drawing/2014/main" id="{D9647049-F7D0-4AA6-8984-3188E874D6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0</xdr:col>
      <xdr:colOff>142875</xdr:colOff>
      <xdr:row>21</xdr:row>
      <xdr:rowOff>6153</xdr:rowOff>
    </xdr:from>
    <xdr:to>
      <xdr:col>6</xdr:col>
      <xdr:colOff>238125</xdr:colOff>
      <xdr:row>30</xdr:row>
      <xdr:rowOff>163650</xdr:rowOff>
    </xdr:to>
    <xdr:graphicFrame macro="">
      <xdr:nvGraphicFramePr>
        <xdr:cNvPr id="14" name="Chart 13">
          <a:extLst>
            <a:ext uri="{FF2B5EF4-FFF2-40B4-BE49-F238E27FC236}">
              <a16:creationId xmlns:a16="http://schemas.microsoft.com/office/drawing/2014/main" id="{F3D52AB8-E52E-4E27-B800-805144B7E9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6</xdr:col>
      <xdr:colOff>314324</xdr:colOff>
      <xdr:row>21</xdr:row>
      <xdr:rowOff>15883</xdr:rowOff>
    </xdr:from>
    <xdr:to>
      <xdr:col>13</xdr:col>
      <xdr:colOff>457200</xdr:colOff>
      <xdr:row>30</xdr:row>
      <xdr:rowOff>163087</xdr:rowOff>
    </xdr:to>
    <xdr:graphicFrame macro="">
      <xdr:nvGraphicFramePr>
        <xdr:cNvPr id="16" name="Chart 15">
          <a:extLst>
            <a:ext uri="{FF2B5EF4-FFF2-40B4-BE49-F238E27FC236}">
              <a16:creationId xmlns:a16="http://schemas.microsoft.com/office/drawing/2014/main" id="{806917A8-ED47-454A-9126-1C9AF21766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14</xdr:col>
      <xdr:colOff>251603</xdr:colOff>
      <xdr:row>4</xdr:row>
      <xdr:rowOff>112166</xdr:rowOff>
    </xdr:from>
    <xdr:to>
      <xdr:col>23</xdr:col>
      <xdr:colOff>457200</xdr:colOff>
      <xdr:row>9</xdr:row>
      <xdr:rowOff>93116</xdr:rowOff>
    </xdr:to>
    <mc:AlternateContent xmlns:mc="http://schemas.openxmlformats.org/markup-compatibility/2006" xmlns:a14="http://schemas.microsoft.com/office/drawing/2010/main">
      <mc:Choice Requires="a14">
        <xdr:graphicFrame macro="">
          <xdr:nvGraphicFramePr>
            <xdr:cNvPr id="17" name="Property">
              <a:extLst>
                <a:ext uri="{FF2B5EF4-FFF2-40B4-BE49-F238E27FC236}">
                  <a16:creationId xmlns:a16="http://schemas.microsoft.com/office/drawing/2014/main" id="{7B1FE1C9-8E2F-4740-A4DA-1266DF652955}"/>
                </a:ext>
              </a:extLst>
            </xdr:cNvPr>
            <xdr:cNvGraphicFramePr/>
          </xdr:nvGraphicFramePr>
          <xdr:xfrm>
            <a:off x="0" y="0"/>
            <a:ext cx="0" cy="0"/>
          </xdr:xfrm>
          <a:graphic>
            <a:graphicData uri="http://schemas.microsoft.com/office/drawing/2010/slicer">
              <sle:slicer xmlns:sle="http://schemas.microsoft.com/office/drawing/2010/slicer" name="Property"/>
            </a:graphicData>
          </a:graphic>
        </xdr:graphicFrame>
      </mc:Choice>
      <mc:Fallback xmlns="">
        <xdr:sp macro="" textlink="">
          <xdr:nvSpPr>
            <xdr:cNvPr id="0" name=""/>
            <xdr:cNvSpPr>
              <a:spLocks noTextEdit="1"/>
            </xdr:cNvSpPr>
          </xdr:nvSpPr>
          <xdr:spPr>
            <a:xfrm>
              <a:off x="8766953" y="874166"/>
              <a:ext cx="5691997"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14</xdr:col>
      <xdr:colOff>242618</xdr:colOff>
      <xdr:row>2</xdr:row>
      <xdr:rowOff>75144</xdr:rowOff>
    </xdr:from>
    <xdr:to>
      <xdr:col>23</xdr:col>
      <xdr:colOff>447675</xdr:colOff>
      <xdr:row>4</xdr:row>
      <xdr:rowOff>46569</xdr:rowOff>
    </xdr:to>
    <xdr:sp macro="" textlink="">
      <xdr:nvSpPr>
        <xdr:cNvPr id="18" name="TextBox 17">
          <a:extLst>
            <a:ext uri="{FF2B5EF4-FFF2-40B4-BE49-F238E27FC236}">
              <a16:creationId xmlns:a16="http://schemas.microsoft.com/office/drawing/2014/main" id="{A72CE497-76FF-46F4-B1E3-A1AA97463BF9}"/>
            </a:ext>
          </a:extLst>
        </xdr:cNvPr>
        <xdr:cNvSpPr txBox="1"/>
      </xdr:nvSpPr>
      <xdr:spPr>
        <a:xfrm>
          <a:off x="8779175" y="452550"/>
          <a:ext cx="5704396" cy="348830"/>
        </a:xfrm>
        <a:prstGeom prst="rect">
          <a:avLst/>
        </a:prstGeom>
        <a:solidFill>
          <a:schemeClr val="accent1">
            <a:lumMod val="40000"/>
            <a:lumOff val="60000"/>
          </a:schemeClr>
        </a:solidFill>
        <a:ln w="9525" cmpd="sng">
          <a:solidFill>
            <a:schemeClr val="lt1">
              <a:shade val="50000"/>
            </a:schemeClr>
          </a:solid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Property</a:t>
          </a:r>
          <a:r>
            <a:rPr lang="en-US" sz="1600" b="1" baseline="0"/>
            <a:t> Name</a:t>
          </a:r>
          <a:endParaRPr lang="en-US" sz="1600" b="1"/>
        </a:p>
      </xdr:txBody>
    </xdr:sp>
    <xdr:clientData/>
  </xdr:twoCellAnchor>
  <xdr:twoCellAnchor>
    <xdr:from>
      <xdr:col>0</xdr:col>
      <xdr:colOff>161925</xdr:colOff>
      <xdr:row>0</xdr:row>
      <xdr:rowOff>32258</xdr:rowOff>
    </xdr:from>
    <xdr:to>
      <xdr:col>21</xdr:col>
      <xdr:colOff>19050</xdr:colOff>
      <xdr:row>2</xdr:row>
      <xdr:rowOff>18815</xdr:rowOff>
    </xdr:to>
    <xdr:sp macro="" textlink="">
      <xdr:nvSpPr>
        <xdr:cNvPr id="19" name="TextBox 18">
          <a:extLst>
            <a:ext uri="{FF2B5EF4-FFF2-40B4-BE49-F238E27FC236}">
              <a16:creationId xmlns:a16="http://schemas.microsoft.com/office/drawing/2014/main" id="{C6E7A55C-2C59-4150-AE76-65F540969902}"/>
            </a:ext>
          </a:extLst>
        </xdr:cNvPr>
        <xdr:cNvSpPr txBox="1"/>
      </xdr:nvSpPr>
      <xdr:spPr>
        <a:xfrm>
          <a:off x="161925" y="32258"/>
          <a:ext cx="12639675" cy="367557"/>
        </a:xfrm>
        <a:prstGeom prst="rect">
          <a:avLst/>
        </a:prstGeom>
        <a:solidFill>
          <a:schemeClr val="accent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900" b="1">
              <a:solidFill>
                <a:schemeClr val="bg1"/>
              </a:solidFill>
            </a:rPr>
            <a:t>Property</a:t>
          </a:r>
          <a:r>
            <a:rPr lang="en-US" sz="1900" b="1" baseline="0">
              <a:solidFill>
                <a:schemeClr val="bg1"/>
              </a:solidFill>
            </a:rPr>
            <a:t> Financial Analysis</a:t>
          </a:r>
          <a:endParaRPr lang="en-US" sz="1900" b="1">
            <a:solidFill>
              <a:schemeClr val="bg1"/>
            </a:solidFill>
          </a:endParaRPr>
        </a:p>
      </xdr:txBody>
    </xdr:sp>
    <xdr:clientData/>
  </xdr:twoCellAnchor>
  <xdr:twoCellAnchor>
    <xdr:from>
      <xdr:col>0</xdr:col>
      <xdr:colOff>76200</xdr:colOff>
      <xdr:row>0</xdr:row>
      <xdr:rowOff>0</xdr:rowOff>
    </xdr:from>
    <xdr:to>
      <xdr:col>0</xdr:col>
      <xdr:colOff>76200</xdr:colOff>
      <xdr:row>32</xdr:row>
      <xdr:rowOff>49389</xdr:rowOff>
    </xdr:to>
    <xdr:cxnSp macro="">
      <xdr:nvCxnSpPr>
        <xdr:cNvPr id="24" name="Straight Connector 23">
          <a:extLst>
            <a:ext uri="{FF2B5EF4-FFF2-40B4-BE49-F238E27FC236}">
              <a16:creationId xmlns:a16="http://schemas.microsoft.com/office/drawing/2014/main" id="{F206A9A7-F5D9-4216-825C-0E098CDD0E54}"/>
            </a:ext>
          </a:extLst>
        </xdr:cNvPr>
        <xdr:cNvCxnSpPr/>
      </xdr:nvCxnSpPr>
      <xdr:spPr>
        <a:xfrm>
          <a:off x="76200" y="0"/>
          <a:ext cx="0" cy="6526389"/>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81139</xdr:colOff>
      <xdr:row>32</xdr:row>
      <xdr:rowOff>47625</xdr:rowOff>
    </xdr:from>
    <xdr:to>
      <xdr:col>23</xdr:col>
      <xdr:colOff>542511</xdr:colOff>
      <xdr:row>32</xdr:row>
      <xdr:rowOff>47625</xdr:rowOff>
    </xdr:to>
    <xdr:cxnSp macro="">
      <xdr:nvCxnSpPr>
        <xdr:cNvPr id="27" name="Straight Connector 26">
          <a:extLst>
            <a:ext uri="{FF2B5EF4-FFF2-40B4-BE49-F238E27FC236}">
              <a16:creationId xmlns:a16="http://schemas.microsoft.com/office/drawing/2014/main" id="{0204D5B7-C932-4855-80C1-D8D0811372E1}"/>
            </a:ext>
          </a:extLst>
        </xdr:cNvPr>
        <xdr:cNvCxnSpPr/>
      </xdr:nvCxnSpPr>
      <xdr:spPr>
        <a:xfrm>
          <a:off x="81139" y="6524625"/>
          <a:ext cx="14446557"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552450</xdr:colOff>
      <xdr:row>0</xdr:row>
      <xdr:rowOff>0</xdr:rowOff>
    </xdr:from>
    <xdr:to>
      <xdr:col>23</xdr:col>
      <xdr:colOff>552450</xdr:colOff>
      <xdr:row>32</xdr:row>
      <xdr:rowOff>47625</xdr:rowOff>
    </xdr:to>
    <xdr:cxnSp macro="">
      <xdr:nvCxnSpPr>
        <xdr:cNvPr id="29" name="Straight Connector 28">
          <a:extLst>
            <a:ext uri="{FF2B5EF4-FFF2-40B4-BE49-F238E27FC236}">
              <a16:creationId xmlns:a16="http://schemas.microsoft.com/office/drawing/2014/main" id="{968A23BB-A56E-4EE3-8B7B-8ADF05CCD506}"/>
            </a:ext>
          </a:extLst>
        </xdr:cNvPr>
        <xdr:cNvCxnSpPr/>
      </xdr:nvCxnSpPr>
      <xdr:spPr>
        <a:xfrm flipV="1">
          <a:off x="14554200" y="0"/>
          <a:ext cx="0" cy="65246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66675</xdr:colOff>
      <xdr:row>0</xdr:row>
      <xdr:rowOff>28575</xdr:rowOff>
    </xdr:from>
    <xdr:to>
      <xdr:col>23</xdr:col>
      <xdr:colOff>428625</xdr:colOff>
      <xdr:row>2</xdr:row>
      <xdr:rowOff>28575</xdr:rowOff>
    </xdr:to>
    <xdr:sp macro="[0]!Refresh" textlink="">
      <xdr:nvSpPr>
        <xdr:cNvPr id="6" name="TextBox 5">
          <a:extLst>
            <a:ext uri="{FF2B5EF4-FFF2-40B4-BE49-F238E27FC236}">
              <a16:creationId xmlns:a16="http://schemas.microsoft.com/office/drawing/2014/main" id="{12299649-D939-442C-8572-2E2B456B40CE}"/>
            </a:ext>
          </a:extLst>
        </xdr:cNvPr>
        <xdr:cNvSpPr txBox="1"/>
      </xdr:nvSpPr>
      <xdr:spPr>
        <a:xfrm>
          <a:off x="12849225" y="28575"/>
          <a:ext cx="1581150" cy="381000"/>
        </a:xfrm>
        <a:prstGeom prst="rect">
          <a:avLst/>
        </a:prstGeom>
        <a:solidFill>
          <a:schemeClr val="accent1">
            <a:lumMod val="50000"/>
          </a:schemeClr>
        </a:solidFill>
        <a:ln w="9525" cmpd="sng">
          <a:solidFill>
            <a:schemeClr val="lt1">
              <a:shade val="50000"/>
            </a:schemeClr>
          </a:solid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Refresh</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171450</xdr:colOff>
      <xdr:row>1</xdr:row>
      <xdr:rowOff>180975</xdr:rowOff>
    </xdr:from>
    <xdr:to>
      <xdr:col>5</xdr:col>
      <xdr:colOff>1247775</xdr:colOff>
      <xdr:row>13</xdr:row>
      <xdr:rowOff>85724</xdr:rowOff>
    </xdr:to>
    <mc:AlternateContent xmlns:mc="http://schemas.openxmlformats.org/markup-compatibility/2006" xmlns:a14="http://schemas.microsoft.com/office/drawing/2010/main">
      <mc:Choice Requires="a14">
        <xdr:graphicFrame macro="">
          <xdr:nvGraphicFramePr>
            <xdr:cNvPr id="2" name="Company - Name">
              <a:extLst>
                <a:ext uri="{FF2B5EF4-FFF2-40B4-BE49-F238E27FC236}">
                  <a16:creationId xmlns:a16="http://schemas.microsoft.com/office/drawing/2014/main" id="{6564B67F-DE8F-4493-857A-60CFD1778A87}"/>
                </a:ext>
              </a:extLst>
            </xdr:cNvPr>
            <xdr:cNvGraphicFramePr/>
          </xdr:nvGraphicFramePr>
          <xdr:xfrm>
            <a:off x="0" y="0"/>
            <a:ext cx="0" cy="0"/>
          </xdr:xfrm>
          <a:graphic>
            <a:graphicData uri="http://schemas.microsoft.com/office/drawing/2010/slicer">
              <sle:slicer xmlns:sle="http://schemas.microsoft.com/office/drawing/2010/slicer" name="Company - Name"/>
            </a:graphicData>
          </a:graphic>
        </xdr:graphicFrame>
      </mc:Choice>
      <mc:Fallback xmlns="">
        <xdr:sp macro="" textlink="">
          <xdr:nvSpPr>
            <xdr:cNvPr id="0" name=""/>
            <xdr:cNvSpPr>
              <a:spLocks noTextEdit="1"/>
            </xdr:cNvSpPr>
          </xdr:nvSpPr>
          <xdr:spPr>
            <a:xfrm>
              <a:off x="3457575" y="371475"/>
              <a:ext cx="1828800" cy="21907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561976</xdr:colOff>
      <xdr:row>38</xdr:row>
      <xdr:rowOff>128587</xdr:rowOff>
    </xdr:from>
    <xdr:to>
      <xdr:col>13</xdr:col>
      <xdr:colOff>619126</xdr:colOff>
      <xdr:row>47</xdr:row>
      <xdr:rowOff>161925</xdr:rowOff>
    </xdr:to>
    <xdr:graphicFrame macro="">
      <xdr:nvGraphicFramePr>
        <xdr:cNvPr id="3" name="Chart 2">
          <a:extLst>
            <a:ext uri="{FF2B5EF4-FFF2-40B4-BE49-F238E27FC236}">
              <a16:creationId xmlns:a16="http://schemas.microsoft.com/office/drawing/2014/main" id="{8F762FD7-BF9A-4B5A-B19C-B297E2196C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133350</xdr:colOff>
      <xdr:row>16</xdr:row>
      <xdr:rowOff>28575</xdr:rowOff>
    </xdr:from>
    <xdr:to>
      <xdr:col>5</xdr:col>
      <xdr:colOff>1209675</xdr:colOff>
      <xdr:row>23</xdr:row>
      <xdr:rowOff>123825</xdr:rowOff>
    </xdr:to>
    <mc:AlternateContent xmlns:mc="http://schemas.openxmlformats.org/markup-compatibility/2006" xmlns:a14="http://schemas.microsoft.com/office/drawing/2010/main">
      <mc:Choice Requires="a14">
        <xdr:graphicFrame macro="">
          <xdr:nvGraphicFramePr>
            <xdr:cNvPr id="4" name="Year">
              <a:extLst>
                <a:ext uri="{FF2B5EF4-FFF2-40B4-BE49-F238E27FC236}">
                  <a16:creationId xmlns:a16="http://schemas.microsoft.com/office/drawing/2014/main" id="{36232804-F082-4FEE-9DC3-A1A95EAC905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419475" y="3076575"/>
              <a:ext cx="1828800" cy="1428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114300</xdr:colOff>
      <xdr:row>26</xdr:row>
      <xdr:rowOff>0</xdr:rowOff>
    </xdr:from>
    <xdr:to>
      <xdr:col>5</xdr:col>
      <xdr:colOff>1190625</xdr:colOff>
      <xdr:row>34</xdr:row>
      <xdr:rowOff>47625</xdr:rowOff>
    </xdr:to>
    <mc:AlternateContent xmlns:mc="http://schemas.openxmlformats.org/markup-compatibility/2006" xmlns:a14="http://schemas.microsoft.com/office/drawing/2010/main">
      <mc:Choice Requires="a14">
        <xdr:graphicFrame macro="">
          <xdr:nvGraphicFramePr>
            <xdr:cNvPr id="5" name="Property name/Asset Class">
              <a:extLst>
                <a:ext uri="{FF2B5EF4-FFF2-40B4-BE49-F238E27FC236}">
                  <a16:creationId xmlns:a16="http://schemas.microsoft.com/office/drawing/2014/main" id="{C2A7F678-68CB-4A88-9849-AB86C5425C40}"/>
                </a:ext>
              </a:extLst>
            </xdr:cNvPr>
            <xdr:cNvGraphicFramePr/>
          </xdr:nvGraphicFramePr>
          <xdr:xfrm>
            <a:off x="0" y="0"/>
            <a:ext cx="0" cy="0"/>
          </xdr:xfrm>
          <a:graphic>
            <a:graphicData uri="http://schemas.microsoft.com/office/drawing/2010/slicer">
              <sle:slicer xmlns:sle="http://schemas.microsoft.com/office/drawing/2010/slicer" name="Property name/Asset Class"/>
            </a:graphicData>
          </a:graphic>
        </xdr:graphicFrame>
      </mc:Choice>
      <mc:Fallback xmlns="">
        <xdr:sp macro="" textlink="">
          <xdr:nvSpPr>
            <xdr:cNvPr id="0" name=""/>
            <xdr:cNvSpPr>
              <a:spLocks noTextEdit="1"/>
            </xdr:cNvSpPr>
          </xdr:nvSpPr>
          <xdr:spPr>
            <a:xfrm>
              <a:off x="3400425" y="4953000"/>
              <a:ext cx="1828800" cy="1571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590551</xdr:colOff>
      <xdr:row>1</xdr:row>
      <xdr:rowOff>147638</xdr:rowOff>
    </xdr:from>
    <xdr:to>
      <xdr:col>13</xdr:col>
      <xdr:colOff>523875</xdr:colOff>
      <xdr:row>13</xdr:row>
      <xdr:rowOff>28576</xdr:rowOff>
    </xdr:to>
    <xdr:graphicFrame macro="">
      <xdr:nvGraphicFramePr>
        <xdr:cNvPr id="6" name="Chart 5">
          <a:extLst>
            <a:ext uri="{FF2B5EF4-FFF2-40B4-BE49-F238E27FC236}">
              <a16:creationId xmlns:a16="http://schemas.microsoft.com/office/drawing/2014/main" id="{6234935E-0C11-4891-943F-AA959F69D4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571499</xdr:colOff>
      <xdr:row>27</xdr:row>
      <xdr:rowOff>19049</xdr:rowOff>
    </xdr:from>
    <xdr:to>
      <xdr:col>13</xdr:col>
      <xdr:colOff>504825</xdr:colOff>
      <xdr:row>35</xdr:row>
      <xdr:rowOff>152400</xdr:rowOff>
    </xdr:to>
    <xdr:graphicFrame macro="">
      <xdr:nvGraphicFramePr>
        <xdr:cNvPr id="7" name="Chart 6">
          <a:extLst>
            <a:ext uri="{FF2B5EF4-FFF2-40B4-BE49-F238E27FC236}">
              <a16:creationId xmlns:a16="http://schemas.microsoft.com/office/drawing/2014/main" id="{EECD65FA-E097-4193-B8EA-4C8F0FFCB0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571500</xdr:colOff>
      <xdr:row>15</xdr:row>
      <xdr:rowOff>33337</xdr:rowOff>
    </xdr:from>
    <xdr:to>
      <xdr:col>13</xdr:col>
      <xdr:colOff>514350</xdr:colOff>
      <xdr:row>25</xdr:row>
      <xdr:rowOff>95250</xdr:rowOff>
    </xdr:to>
    <xdr:graphicFrame macro="">
      <xdr:nvGraphicFramePr>
        <xdr:cNvPr id="8" name="Chart 7">
          <a:extLst>
            <a:ext uri="{FF2B5EF4-FFF2-40B4-BE49-F238E27FC236}">
              <a16:creationId xmlns:a16="http://schemas.microsoft.com/office/drawing/2014/main" id="{2DE2C1F4-23D4-495D-8ADE-0BCE72C1A5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542925</xdr:colOff>
      <xdr:row>50</xdr:row>
      <xdr:rowOff>4762</xdr:rowOff>
    </xdr:from>
    <xdr:to>
      <xdr:col>13</xdr:col>
      <xdr:colOff>561975</xdr:colOff>
      <xdr:row>61</xdr:row>
      <xdr:rowOff>28575</xdr:rowOff>
    </xdr:to>
    <xdr:graphicFrame macro="">
      <xdr:nvGraphicFramePr>
        <xdr:cNvPr id="9" name="Chart 8">
          <a:extLst>
            <a:ext uri="{FF2B5EF4-FFF2-40B4-BE49-F238E27FC236}">
              <a16:creationId xmlns:a16="http://schemas.microsoft.com/office/drawing/2014/main" id="{914A9A6B-2A36-48E4-9C65-381E77CF10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1028700</xdr:colOff>
      <xdr:row>14</xdr:row>
      <xdr:rowOff>147636</xdr:rowOff>
    </xdr:from>
    <xdr:to>
      <xdr:col>17</xdr:col>
      <xdr:colOff>438150</xdr:colOff>
      <xdr:row>26</xdr:row>
      <xdr:rowOff>114299</xdr:rowOff>
    </xdr:to>
    <xdr:graphicFrame macro="">
      <xdr:nvGraphicFramePr>
        <xdr:cNvPr id="10" name="Chart 9">
          <a:extLst>
            <a:ext uri="{FF2B5EF4-FFF2-40B4-BE49-F238E27FC236}">
              <a16:creationId xmlns:a16="http://schemas.microsoft.com/office/drawing/2014/main" id="{E6363778-384B-43E6-BD99-D0BB41745A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962025</xdr:colOff>
      <xdr:row>1</xdr:row>
      <xdr:rowOff>128587</xdr:rowOff>
    </xdr:from>
    <xdr:to>
      <xdr:col>17</xdr:col>
      <xdr:colOff>314325</xdr:colOff>
      <xdr:row>12</xdr:row>
      <xdr:rowOff>133350</xdr:rowOff>
    </xdr:to>
    <xdr:graphicFrame macro="">
      <xdr:nvGraphicFramePr>
        <xdr:cNvPr id="11" name="Chart 10">
          <a:extLst>
            <a:ext uri="{FF2B5EF4-FFF2-40B4-BE49-F238E27FC236}">
              <a16:creationId xmlns:a16="http://schemas.microsoft.com/office/drawing/2014/main" id="{4AB0C4AB-975C-40D9-B3DC-E00BECC415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4</xdr:col>
      <xdr:colOff>180975</xdr:colOff>
      <xdr:row>36</xdr:row>
      <xdr:rowOff>57150</xdr:rowOff>
    </xdr:from>
    <xdr:to>
      <xdr:col>5</xdr:col>
      <xdr:colOff>1257300</xdr:colOff>
      <xdr:row>44</xdr:row>
      <xdr:rowOff>76199</xdr:rowOff>
    </xdr:to>
    <mc:AlternateContent xmlns:mc="http://schemas.openxmlformats.org/markup-compatibility/2006" xmlns:a14="http://schemas.microsoft.com/office/drawing/2010/main">
      <mc:Choice Requires="a14">
        <xdr:graphicFrame macro="">
          <xdr:nvGraphicFramePr>
            <xdr:cNvPr id="15" name="Check">
              <a:extLst>
                <a:ext uri="{FF2B5EF4-FFF2-40B4-BE49-F238E27FC236}">
                  <a16:creationId xmlns:a16="http://schemas.microsoft.com/office/drawing/2014/main" id="{8047EDF9-74D6-41D1-ABD6-AAC863D2E256}"/>
                </a:ext>
              </a:extLst>
            </xdr:cNvPr>
            <xdr:cNvGraphicFramePr/>
          </xdr:nvGraphicFramePr>
          <xdr:xfrm>
            <a:off x="0" y="0"/>
            <a:ext cx="0" cy="0"/>
          </xdr:xfrm>
          <a:graphic>
            <a:graphicData uri="http://schemas.microsoft.com/office/drawing/2010/slicer">
              <sle:slicer xmlns:sle="http://schemas.microsoft.com/office/drawing/2010/slicer" name="Check"/>
            </a:graphicData>
          </a:graphic>
        </xdr:graphicFrame>
      </mc:Choice>
      <mc:Fallback xmlns="">
        <xdr:sp macro="" textlink="">
          <xdr:nvSpPr>
            <xdr:cNvPr id="0" name=""/>
            <xdr:cNvSpPr>
              <a:spLocks noTextEdit="1"/>
            </xdr:cNvSpPr>
          </xdr:nvSpPr>
          <xdr:spPr>
            <a:xfrm>
              <a:off x="3467100" y="6915150"/>
              <a:ext cx="1828800" cy="1543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644.760086226852" createdVersion="7" refreshedVersion="7" minRefreshableVersion="3" recordCount="78" xr:uid="{47C8DBBC-388F-4E9C-B9E3-2CDD68F67842}">
  <cacheSource type="worksheet">
    <worksheetSource name="MixedFruit"/>
  </cacheSource>
  <cacheFields count="15">
    <cacheField name="Company Name (Factsheet)" numFmtId="0">
      <sharedItems/>
    </cacheField>
    <cacheField name="Company - Name" numFmtId="0">
      <sharedItems containsBlank="1" count="8">
        <s v="UKV - Canterbury"/>
        <s v="UKV - I"/>
        <s v="UKV - III"/>
        <s v="UKV - V"/>
        <s v="UKV - II"/>
        <s v="UKV - IV"/>
        <m u="1"/>
        <s v="UKV - VI" u="1"/>
      </sharedItems>
    </cacheField>
    <cacheField name="Property name/Asset Class" numFmtId="0">
      <sharedItems containsBlank="1" count="6">
        <s v="Student Housing"/>
        <s v="Retail Park"/>
        <s v="Warehouse"/>
        <s v="Manchester Business park &amp; 4 the Square Stockley – Offices"/>
        <s v="Warehouse Distribution Centre"/>
        <m u="1"/>
      </sharedItems>
    </cacheField>
    <cacheField name="Year" numFmtId="0">
      <sharedItems containsString="0" containsBlank="1" containsNumber="1" containsInteger="1" minValue="2021" maxValue="2025" count="6">
        <n v="2021"/>
        <n v="2022"/>
        <n v="2023"/>
        <m/>
        <n v="2024"/>
        <n v="2025" u="1"/>
      </sharedItems>
    </cacheField>
    <cacheField name="Valuation(M)" numFmtId="0">
      <sharedItems containsString="0" containsBlank="1" containsNumber="1" minValue="14.4" maxValue="70.2"/>
    </cacheField>
    <cacheField name="NOI(M)" numFmtId="0">
      <sharedItems containsString="0" containsBlank="1" containsNumber="1" minValue="1.9359999999999999" maxValue="1.97"/>
    </cacheField>
    <cacheField name="Occupacy" numFmtId="0">
      <sharedItems containsString="0" containsBlank="1" containsNumber="1" minValue="0.48" maxValue="0.77"/>
    </cacheField>
    <cacheField name="Distribution" numFmtId="0">
      <sharedItems containsString="0" containsBlank="1" containsNumber="1" minValue="0" maxValue="7.4999999999999997E-2"/>
    </cacheField>
    <cacheField name="Net Rental Revenues (M)" numFmtId="0">
      <sharedItems containsString="0" containsBlank="1" containsNumber="1" minValue="0.50800000000000001" maxValue="2.1"/>
    </cacheField>
    <cacheField name="Property Valuation Trends (M)" numFmtId="0">
      <sharedItems containsString="0" containsBlank="1" containsNumber="1" minValue="6.65" maxValue="27.05"/>
    </cacheField>
    <cacheField name="Year Wise Wault" numFmtId="0">
      <sharedItems containsBlank="1" count="8">
        <m/>
        <s v="0 To 4 Yrs"/>
        <s v="5 To 7 Yrs"/>
        <s v="8 To 15 Yrs"/>
        <s v="0 To 3 Yrs"/>
        <s v="3 To 5 Yrs"/>
        <s v="5 To 10 Yrs"/>
        <s v="10 To 15 Yrs"/>
      </sharedItems>
    </cacheField>
    <cacheField name="Wault Percentage" numFmtId="0">
      <sharedItems containsString="0" containsBlank="1" containsNumber="1" minValue="0" maxValue="1"/>
    </cacheField>
    <cacheField name="Rent Contributor" numFmtId="0">
      <sharedItems containsBlank="1" count="7">
        <m/>
        <s v="HIKVision"/>
        <s v="Emirates"/>
        <s v="Costain"/>
        <s v="Regus"/>
        <s v="PZ Cussons"/>
        <s v="Hasbro"/>
      </sharedItems>
    </cacheField>
    <cacheField name="Contributor Value" numFmtId="0">
      <sharedItems containsString="0" containsBlank="1" containsNumber="1" containsInteger="1" minValue="423774" maxValue="1604096"/>
    </cacheField>
    <cacheField name="Check" numFmtId="0">
      <sharedItems containsBlank="1" count="3">
        <b v="1"/>
        <b v="0"/>
        <m u="1"/>
      </sharedItems>
    </cacheField>
  </cacheFields>
  <extLst>
    <ext xmlns:x14="http://schemas.microsoft.com/office/spreadsheetml/2009/9/main" uri="{725AE2AE-9491-48be-B2B4-4EB974FC3084}">
      <x14:pivotCacheDefinition pivotCacheId="11832774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s v="UKV - Canterbury-Q4 2023 Factsheet"/>
    <x v="0"/>
    <x v="0"/>
    <x v="0"/>
    <n v="35.950000000000003"/>
    <m/>
    <n v="0.76"/>
    <n v="2.2499999999999999E-2"/>
    <m/>
    <m/>
    <x v="0"/>
    <m/>
    <x v="0"/>
    <m/>
    <x v="0"/>
  </r>
  <r>
    <s v="UKV - Canterbury-Q4 2023 Factsheet"/>
    <x v="0"/>
    <x v="0"/>
    <x v="1"/>
    <n v="33.18"/>
    <m/>
    <n v="0.68"/>
    <n v="0"/>
    <m/>
    <m/>
    <x v="0"/>
    <m/>
    <x v="0"/>
    <m/>
    <x v="0"/>
  </r>
  <r>
    <s v="UKV - Canterbury-Q4 2023 Factsheet"/>
    <x v="0"/>
    <x v="0"/>
    <x v="2"/>
    <n v="28"/>
    <m/>
    <n v="0.59"/>
    <n v="0"/>
    <m/>
    <m/>
    <x v="0"/>
    <m/>
    <x v="0"/>
    <m/>
    <x v="0"/>
  </r>
  <r>
    <s v="UKV - I-Q4 2023 Factsheet_x000a_"/>
    <x v="1"/>
    <x v="1"/>
    <x v="0"/>
    <m/>
    <m/>
    <m/>
    <m/>
    <n v="1.97"/>
    <n v="25.9"/>
    <x v="0"/>
    <m/>
    <x v="0"/>
    <m/>
    <x v="0"/>
  </r>
  <r>
    <s v="UKV - I-Q4 2023 Factsheet_x000a_"/>
    <x v="1"/>
    <x v="1"/>
    <x v="1"/>
    <m/>
    <m/>
    <m/>
    <m/>
    <n v="1.97"/>
    <n v="27.05"/>
    <x v="0"/>
    <m/>
    <x v="0"/>
    <m/>
    <x v="0"/>
  </r>
  <r>
    <s v="UKV - I-Q4 2023 Factsheet_x000a_"/>
    <x v="1"/>
    <x v="1"/>
    <x v="2"/>
    <m/>
    <m/>
    <m/>
    <m/>
    <n v="2.02"/>
    <n v="25.2"/>
    <x v="0"/>
    <m/>
    <x v="0"/>
    <m/>
    <x v="0"/>
  </r>
  <r>
    <s v="UKV - I-Q4 2023 Factsheet_x000a_"/>
    <x v="1"/>
    <x v="1"/>
    <x v="3"/>
    <m/>
    <m/>
    <m/>
    <m/>
    <m/>
    <m/>
    <x v="1"/>
    <n v="0.53"/>
    <x v="0"/>
    <m/>
    <x v="1"/>
  </r>
  <r>
    <s v="UKV - I-Q4 2023 Factsheet_x000a_"/>
    <x v="1"/>
    <x v="1"/>
    <x v="3"/>
    <m/>
    <m/>
    <m/>
    <m/>
    <m/>
    <m/>
    <x v="2"/>
    <n v="0.13"/>
    <x v="0"/>
    <m/>
    <x v="1"/>
  </r>
  <r>
    <s v="UKV - I-Q4 2023 Factsheet_x000a_"/>
    <x v="1"/>
    <x v="1"/>
    <x v="3"/>
    <m/>
    <m/>
    <m/>
    <m/>
    <m/>
    <m/>
    <x v="3"/>
    <n v="0.33"/>
    <x v="0"/>
    <m/>
    <x v="1"/>
  </r>
  <r>
    <s v="UKV - III-Q4 2023 Factsheet _x000a_"/>
    <x v="2"/>
    <x v="1"/>
    <x v="0"/>
    <m/>
    <m/>
    <m/>
    <m/>
    <n v="1.94"/>
    <n v="21.7"/>
    <x v="0"/>
    <m/>
    <x v="0"/>
    <m/>
    <x v="0"/>
  </r>
  <r>
    <s v="UKV - III-Q4 2023 Factsheet _x000a_"/>
    <x v="2"/>
    <x v="1"/>
    <x v="1"/>
    <m/>
    <m/>
    <m/>
    <m/>
    <n v="1.99"/>
    <n v="23.58"/>
    <x v="0"/>
    <m/>
    <x v="0"/>
    <m/>
    <x v="0"/>
  </r>
  <r>
    <s v="UKV - III-Q4 2023 Factsheet _x000a_"/>
    <x v="2"/>
    <x v="1"/>
    <x v="2"/>
    <m/>
    <m/>
    <m/>
    <m/>
    <n v="1.69"/>
    <n v="15.05"/>
    <x v="0"/>
    <m/>
    <x v="0"/>
    <m/>
    <x v="0"/>
  </r>
  <r>
    <s v="UKV - III-Q4 2023 Factsheet _x000a_"/>
    <x v="2"/>
    <x v="1"/>
    <x v="3"/>
    <m/>
    <m/>
    <m/>
    <m/>
    <m/>
    <m/>
    <x v="1"/>
    <n v="0.83299999999999996"/>
    <x v="0"/>
    <m/>
    <x v="1"/>
  </r>
  <r>
    <s v="UKV - III-Q4 2023 Factsheet _x000a_"/>
    <x v="2"/>
    <x v="1"/>
    <x v="3"/>
    <m/>
    <m/>
    <m/>
    <m/>
    <m/>
    <m/>
    <x v="3"/>
    <n v="0.16700000000000001"/>
    <x v="0"/>
    <m/>
    <x v="1"/>
  </r>
  <r>
    <s v="UKV - V-Q4 2023 Factsheet _x000a_"/>
    <x v="3"/>
    <x v="2"/>
    <x v="0"/>
    <m/>
    <m/>
    <m/>
    <m/>
    <n v="0.95"/>
    <n v="16.61"/>
    <x v="0"/>
    <m/>
    <x v="0"/>
    <m/>
    <x v="0"/>
  </r>
  <r>
    <s v="UKV - V-Q4 2023 Factsheet _x000a_"/>
    <x v="3"/>
    <x v="2"/>
    <x v="1"/>
    <m/>
    <m/>
    <m/>
    <m/>
    <n v="0.95"/>
    <n v="14.46"/>
    <x v="0"/>
    <m/>
    <x v="0"/>
    <m/>
    <x v="0"/>
  </r>
  <r>
    <s v="UKV - V-Q4 2023 Factsheet _x000a_"/>
    <x v="3"/>
    <x v="2"/>
    <x v="2"/>
    <m/>
    <m/>
    <m/>
    <m/>
    <n v="0.95"/>
    <n v="18.079999999999998"/>
    <x v="0"/>
    <m/>
    <x v="0"/>
    <m/>
    <x v="0"/>
  </r>
  <r>
    <s v="UKV - V-Q4 2023 Factsheet _x000a_"/>
    <x v="3"/>
    <x v="2"/>
    <x v="3"/>
    <m/>
    <m/>
    <m/>
    <m/>
    <m/>
    <m/>
    <x v="3"/>
    <n v="1"/>
    <x v="0"/>
    <m/>
    <x v="1"/>
  </r>
  <r>
    <s v="UKV - Canterbury -Q4 2022 Factsheet"/>
    <x v="0"/>
    <x v="0"/>
    <x v="0"/>
    <n v="35.950000000000003"/>
    <m/>
    <n v="0.76"/>
    <n v="2.2499999999999999E-2"/>
    <m/>
    <m/>
    <x v="0"/>
    <m/>
    <x v="0"/>
    <m/>
    <x v="0"/>
  </r>
  <r>
    <s v="UKV - Canterbury -Q4 2022 Factsheet"/>
    <x v="0"/>
    <x v="0"/>
    <x v="1"/>
    <n v="33.18"/>
    <m/>
    <n v="0.68"/>
    <n v="0"/>
    <m/>
    <m/>
    <x v="0"/>
    <m/>
    <x v="0"/>
    <m/>
    <x v="0"/>
  </r>
  <r>
    <s v="UKV - Canterbury -Q4 2022 Factsheet"/>
    <x v="0"/>
    <x v="0"/>
    <x v="3"/>
    <m/>
    <m/>
    <m/>
    <m/>
    <m/>
    <m/>
    <x v="1"/>
    <n v="0"/>
    <x v="0"/>
    <m/>
    <x v="1"/>
  </r>
  <r>
    <s v="UKV - Canterbury -Q4 2022 Factsheet"/>
    <x v="0"/>
    <x v="0"/>
    <x v="3"/>
    <m/>
    <m/>
    <m/>
    <m/>
    <m/>
    <m/>
    <x v="2"/>
    <n v="0.33"/>
    <x v="0"/>
    <m/>
    <x v="1"/>
  </r>
  <r>
    <s v="UKV - Canterbury -Q4 2022 Factsheet"/>
    <x v="0"/>
    <x v="0"/>
    <x v="3"/>
    <m/>
    <m/>
    <m/>
    <m/>
    <m/>
    <m/>
    <x v="3"/>
    <n v="0.33"/>
    <x v="0"/>
    <m/>
    <x v="1"/>
  </r>
  <r>
    <s v="UKV - II -Q4 2022 Factsheet"/>
    <x v="4"/>
    <x v="1"/>
    <x v="0"/>
    <m/>
    <m/>
    <m/>
    <n v="0"/>
    <n v="0.50800000000000001"/>
    <n v="6.65"/>
    <x v="0"/>
    <m/>
    <x v="0"/>
    <m/>
    <x v="0"/>
  </r>
  <r>
    <s v="UKV - II -Q4 2022 Factsheet"/>
    <x v="4"/>
    <x v="1"/>
    <x v="1"/>
    <m/>
    <m/>
    <m/>
    <n v="0"/>
    <n v="0.50800000000000001"/>
    <n v="8.4499999999999993"/>
    <x v="0"/>
    <m/>
    <x v="0"/>
    <m/>
    <x v="0"/>
  </r>
  <r>
    <s v="UKV - II -Q4 2022 Factsheet"/>
    <x v="4"/>
    <x v="1"/>
    <x v="3"/>
    <m/>
    <m/>
    <m/>
    <m/>
    <m/>
    <m/>
    <x v="1"/>
    <n v="0"/>
    <x v="0"/>
    <m/>
    <x v="1"/>
  </r>
  <r>
    <s v="UKV - II -Q4 2022 Factsheet"/>
    <x v="4"/>
    <x v="1"/>
    <x v="3"/>
    <m/>
    <m/>
    <m/>
    <m/>
    <m/>
    <m/>
    <x v="2"/>
    <n v="3.3E-3"/>
    <x v="0"/>
    <m/>
    <x v="1"/>
  </r>
  <r>
    <s v="UKV - II -Q4 2022 Factsheet"/>
    <x v="4"/>
    <x v="1"/>
    <x v="3"/>
    <m/>
    <m/>
    <m/>
    <m/>
    <m/>
    <m/>
    <x v="3"/>
    <n v="3.3E-3"/>
    <x v="0"/>
    <m/>
    <x v="1"/>
  </r>
  <r>
    <s v="UKV - III -Q4 2022 Factsheet"/>
    <x v="2"/>
    <x v="1"/>
    <x v="0"/>
    <m/>
    <m/>
    <m/>
    <n v="0"/>
    <n v="1.9359999999999999"/>
    <n v="21.7"/>
    <x v="0"/>
    <m/>
    <x v="0"/>
    <m/>
    <x v="0"/>
  </r>
  <r>
    <s v="UKV - III -Q4 2022 Factsheet"/>
    <x v="2"/>
    <x v="1"/>
    <x v="1"/>
    <m/>
    <m/>
    <m/>
    <m/>
    <n v="1.9359999999999999"/>
    <n v="23.58"/>
    <x v="0"/>
    <m/>
    <x v="0"/>
    <m/>
    <x v="0"/>
  </r>
  <r>
    <s v="UKV - III -Q4 2022 Factsheet"/>
    <x v="2"/>
    <x v="1"/>
    <x v="3"/>
    <m/>
    <m/>
    <m/>
    <m/>
    <m/>
    <m/>
    <x v="1"/>
    <n v="0.58330000000000004"/>
    <x v="0"/>
    <m/>
    <x v="1"/>
  </r>
  <r>
    <s v="UKV - III -Q4 2022 Factsheet"/>
    <x v="2"/>
    <x v="1"/>
    <x v="3"/>
    <m/>
    <m/>
    <m/>
    <m/>
    <m/>
    <m/>
    <x v="2"/>
    <n v="0.25"/>
    <x v="0"/>
    <m/>
    <x v="1"/>
  </r>
  <r>
    <s v="UKV - III -Q4 2022 Factsheet"/>
    <x v="2"/>
    <x v="1"/>
    <x v="3"/>
    <m/>
    <m/>
    <m/>
    <m/>
    <m/>
    <m/>
    <x v="3"/>
    <n v="0.16669999999999999"/>
    <x v="0"/>
    <m/>
    <x v="1"/>
  </r>
  <r>
    <s v="UKV - I-Q4 2022 Factsheet"/>
    <x v="1"/>
    <x v="1"/>
    <x v="0"/>
    <m/>
    <m/>
    <m/>
    <n v="0"/>
    <n v="1.97"/>
    <n v="25.9"/>
    <x v="0"/>
    <m/>
    <x v="0"/>
    <m/>
    <x v="0"/>
  </r>
  <r>
    <s v="UKV - I-Q4 2022 Factsheet"/>
    <x v="1"/>
    <x v="1"/>
    <x v="1"/>
    <m/>
    <m/>
    <m/>
    <n v="0"/>
    <n v="1.97"/>
    <n v="27.05"/>
    <x v="0"/>
    <m/>
    <x v="0"/>
    <m/>
    <x v="0"/>
  </r>
  <r>
    <s v="UKV - I- Q4 2022 Factsheet"/>
    <x v="1"/>
    <x v="1"/>
    <x v="3"/>
    <m/>
    <m/>
    <m/>
    <m/>
    <m/>
    <m/>
    <x v="1"/>
    <n v="0.56000000000000005"/>
    <x v="0"/>
    <m/>
    <x v="1"/>
  </r>
  <r>
    <s v="UKV - I- Q4 2022 Factsheet"/>
    <x v="1"/>
    <x v="1"/>
    <x v="3"/>
    <m/>
    <m/>
    <m/>
    <m/>
    <m/>
    <m/>
    <x v="2"/>
    <n v="0.06"/>
    <x v="0"/>
    <m/>
    <x v="1"/>
  </r>
  <r>
    <s v="UKV - I- Q4 2022 Factsheet"/>
    <x v="1"/>
    <x v="1"/>
    <x v="3"/>
    <m/>
    <m/>
    <m/>
    <m/>
    <m/>
    <m/>
    <x v="3"/>
    <n v="0.31"/>
    <x v="0"/>
    <m/>
    <x v="1"/>
  </r>
  <r>
    <s v="UKV - I- Q4 2022 Factsheet"/>
    <x v="1"/>
    <x v="1"/>
    <x v="3"/>
    <m/>
    <m/>
    <m/>
    <m/>
    <m/>
    <m/>
    <x v="0"/>
    <m/>
    <x v="0"/>
    <m/>
    <x v="1"/>
  </r>
  <r>
    <s v="UKV IV-Q4-2022 Factsheet"/>
    <x v="5"/>
    <x v="3"/>
    <x v="3"/>
    <m/>
    <m/>
    <m/>
    <m/>
    <m/>
    <m/>
    <x v="0"/>
    <m/>
    <x v="1"/>
    <n v="676896"/>
    <x v="1"/>
  </r>
  <r>
    <s v="UKV IV-Q4-2022 Factsheet"/>
    <x v="5"/>
    <x v="3"/>
    <x v="3"/>
    <m/>
    <m/>
    <m/>
    <m/>
    <m/>
    <m/>
    <x v="1"/>
    <n v="0.33"/>
    <x v="2"/>
    <n v="423774"/>
    <x v="1"/>
  </r>
  <r>
    <s v="UKV IV-Q4-2022 Factsheet"/>
    <x v="5"/>
    <x v="3"/>
    <x v="3"/>
    <m/>
    <m/>
    <m/>
    <m/>
    <m/>
    <m/>
    <x v="2"/>
    <n v="0.17"/>
    <x v="3"/>
    <n v="744471"/>
    <x v="1"/>
  </r>
  <r>
    <s v="UKV IV-Q4-2022 Factsheet"/>
    <x v="5"/>
    <x v="3"/>
    <x v="3"/>
    <m/>
    <m/>
    <m/>
    <m/>
    <m/>
    <m/>
    <x v="3"/>
    <n v="0.5"/>
    <x v="4"/>
    <n v="1087531"/>
    <x v="1"/>
  </r>
  <r>
    <s v="UKV IV-Q4-2022 Factsheet"/>
    <x v="5"/>
    <x v="3"/>
    <x v="3"/>
    <m/>
    <m/>
    <m/>
    <m/>
    <m/>
    <m/>
    <x v="0"/>
    <m/>
    <x v="5"/>
    <n v="823830"/>
    <x v="1"/>
  </r>
  <r>
    <s v="UKV IV-Q4-2022 Factsheet"/>
    <x v="5"/>
    <x v="3"/>
    <x v="3"/>
    <m/>
    <m/>
    <m/>
    <m/>
    <m/>
    <m/>
    <x v="0"/>
    <m/>
    <x v="6"/>
    <n v="1604096"/>
    <x v="1"/>
  </r>
  <r>
    <s v="UKV IV-Q4-2022 Factsheet"/>
    <x v="5"/>
    <x v="3"/>
    <x v="0"/>
    <n v="70.2"/>
    <m/>
    <m/>
    <m/>
    <m/>
    <m/>
    <x v="0"/>
    <m/>
    <x v="0"/>
    <m/>
    <x v="0"/>
  </r>
  <r>
    <s v="UKV IV-Q4-2022 Factsheet"/>
    <x v="5"/>
    <x v="3"/>
    <x v="1"/>
    <n v="66.150000000000006"/>
    <m/>
    <m/>
    <m/>
    <m/>
    <m/>
    <x v="0"/>
    <m/>
    <x v="0"/>
    <m/>
    <x v="0"/>
  </r>
  <r>
    <s v="UKV V-Q4-2022 Factsheet"/>
    <x v="3"/>
    <x v="2"/>
    <x v="0"/>
    <m/>
    <m/>
    <m/>
    <n v="7.4999999999999997E-2"/>
    <n v="0.91"/>
    <n v="16.61"/>
    <x v="0"/>
    <m/>
    <x v="0"/>
    <m/>
    <x v="0"/>
  </r>
  <r>
    <s v="UKV V-Q4-2022 Factsheet"/>
    <x v="3"/>
    <x v="2"/>
    <x v="1"/>
    <m/>
    <m/>
    <m/>
    <n v="7.4999999999999997E-2"/>
    <n v="0.91"/>
    <n v="14.16"/>
    <x v="0"/>
    <m/>
    <x v="0"/>
    <m/>
    <x v="0"/>
  </r>
  <r>
    <s v="UKV V-Q4-2022 Factsheet"/>
    <x v="3"/>
    <x v="2"/>
    <x v="3"/>
    <m/>
    <m/>
    <m/>
    <m/>
    <m/>
    <m/>
    <x v="3"/>
    <n v="1"/>
    <x v="0"/>
    <m/>
    <x v="1"/>
  </r>
  <r>
    <s v="UKV - Canterbury-December 2021 Factsheet _x000a_"/>
    <x v="0"/>
    <x v="0"/>
    <x v="0"/>
    <n v="35.950000000000003"/>
    <m/>
    <n v="0.77"/>
    <n v="2.2499999999999999E-2"/>
    <m/>
    <m/>
    <x v="0"/>
    <m/>
    <x v="0"/>
    <m/>
    <x v="0"/>
  </r>
  <r>
    <s v="UKV - III-December 2021 Factsheet _x000a_"/>
    <x v="2"/>
    <x v="1"/>
    <x v="0"/>
    <n v="21.7"/>
    <n v="1.9359999999999999"/>
    <m/>
    <n v="0"/>
    <m/>
    <m/>
    <x v="0"/>
    <m/>
    <x v="0"/>
    <m/>
    <x v="0"/>
  </r>
  <r>
    <s v="UKV - III-December 2021 Factsheet _x000a_"/>
    <x v="2"/>
    <x v="1"/>
    <x v="3"/>
    <m/>
    <m/>
    <m/>
    <m/>
    <m/>
    <m/>
    <x v="1"/>
    <n v="0.69199999999999995"/>
    <x v="0"/>
    <m/>
    <x v="1"/>
  </r>
  <r>
    <s v="UKV - III-December 2021 Factsheet _x000a_"/>
    <x v="2"/>
    <x v="1"/>
    <x v="3"/>
    <m/>
    <m/>
    <m/>
    <m/>
    <m/>
    <m/>
    <x v="2"/>
    <n v="0.154"/>
    <x v="0"/>
    <m/>
    <x v="1"/>
  </r>
  <r>
    <s v="UKV - III-December 2021 Factsheet _x000a_"/>
    <x v="2"/>
    <x v="1"/>
    <x v="3"/>
    <m/>
    <m/>
    <m/>
    <m/>
    <m/>
    <m/>
    <x v="3"/>
    <n v="0.154"/>
    <x v="0"/>
    <m/>
    <x v="1"/>
  </r>
  <r>
    <s v="UKV - I-December 2021 Factsheet _x000a_"/>
    <x v="1"/>
    <x v="1"/>
    <x v="0"/>
    <n v="24.35"/>
    <n v="1.97"/>
    <m/>
    <n v="0"/>
    <m/>
    <m/>
    <x v="0"/>
    <m/>
    <x v="0"/>
    <m/>
    <x v="0"/>
  </r>
  <r>
    <s v="UKV - I-December 2021 Factsheet _x000a_"/>
    <x v="1"/>
    <x v="1"/>
    <x v="3"/>
    <m/>
    <m/>
    <m/>
    <m/>
    <m/>
    <m/>
    <x v="1"/>
    <n v="0.79"/>
    <x v="0"/>
    <m/>
    <x v="1"/>
  </r>
  <r>
    <s v="UKV - I-December 2021 Factsheet _x000a_"/>
    <x v="1"/>
    <x v="1"/>
    <x v="3"/>
    <m/>
    <m/>
    <m/>
    <m/>
    <m/>
    <m/>
    <x v="2"/>
    <n v="0.1"/>
    <x v="0"/>
    <m/>
    <x v="1"/>
  </r>
  <r>
    <s v="UKV - I-December 2021 Factsheet _x000a_"/>
    <x v="1"/>
    <x v="1"/>
    <x v="3"/>
    <m/>
    <m/>
    <m/>
    <m/>
    <m/>
    <m/>
    <x v="3"/>
    <n v="0.08"/>
    <x v="0"/>
    <m/>
    <x v="1"/>
  </r>
  <r>
    <s v="UKV - Canterbury-Q3 2024 Factsheet"/>
    <x v="0"/>
    <x v="0"/>
    <x v="0"/>
    <n v="35.950000000000003"/>
    <m/>
    <n v="0.76"/>
    <n v="2.2499999999999999E-2"/>
    <m/>
    <m/>
    <x v="0"/>
    <m/>
    <x v="0"/>
    <m/>
    <x v="0"/>
  </r>
  <r>
    <s v="UKV - Canterbury-Q3 2024 Factsheet"/>
    <x v="0"/>
    <x v="0"/>
    <x v="1"/>
    <n v="33.18"/>
    <m/>
    <n v="0.68"/>
    <n v="0"/>
    <m/>
    <m/>
    <x v="0"/>
    <m/>
    <x v="0"/>
    <m/>
    <x v="0"/>
  </r>
  <r>
    <s v="UKV - Canterbury-Q3 2024 Factsheet"/>
    <x v="0"/>
    <x v="0"/>
    <x v="2"/>
    <n v="28"/>
    <m/>
    <n v="0.59"/>
    <n v="0"/>
    <m/>
    <m/>
    <x v="0"/>
    <m/>
    <x v="0"/>
    <m/>
    <x v="0"/>
  </r>
  <r>
    <s v="UKV - Canterbury-Q3 2024 Factsheet"/>
    <x v="0"/>
    <x v="0"/>
    <x v="4"/>
    <n v="26.3"/>
    <m/>
    <n v="0.48"/>
    <n v="0"/>
    <m/>
    <m/>
    <x v="0"/>
    <m/>
    <x v="0"/>
    <m/>
    <x v="0"/>
  </r>
  <r>
    <s v="UKV - I-Q3 2024 Factsheet"/>
    <x v="1"/>
    <x v="1"/>
    <x v="0"/>
    <m/>
    <m/>
    <m/>
    <m/>
    <n v="1.97"/>
    <n v="27.05"/>
    <x v="0"/>
    <m/>
    <x v="0"/>
    <m/>
    <x v="0"/>
  </r>
  <r>
    <s v="UKV - I-Q3 2024 Factsheet"/>
    <x v="1"/>
    <x v="1"/>
    <x v="3"/>
    <m/>
    <m/>
    <m/>
    <m/>
    <m/>
    <m/>
    <x v="4"/>
    <n v="0.48"/>
    <x v="0"/>
    <m/>
    <x v="1"/>
  </r>
  <r>
    <s v="UKV - I-Q3 2024 Factsheet"/>
    <x v="1"/>
    <x v="1"/>
    <x v="3"/>
    <m/>
    <m/>
    <m/>
    <m/>
    <m/>
    <m/>
    <x v="5"/>
    <n v="0.12"/>
    <x v="0"/>
    <m/>
    <x v="1"/>
  </r>
  <r>
    <s v="UKV - I-Q3 2024 Factsheet"/>
    <x v="1"/>
    <x v="1"/>
    <x v="3"/>
    <m/>
    <m/>
    <m/>
    <m/>
    <m/>
    <m/>
    <x v="6"/>
    <n v="0.13"/>
    <x v="0"/>
    <m/>
    <x v="1"/>
  </r>
  <r>
    <s v="UKV - I-Q3 2024 Factsheet"/>
    <x v="1"/>
    <x v="1"/>
    <x v="3"/>
    <m/>
    <m/>
    <m/>
    <m/>
    <m/>
    <m/>
    <x v="7"/>
    <n v="0.27"/>
    <x v="0"/>
    <m/>
    <x v="1"/>
  </r>
  <r>
    <s v="UKV - I-Q3 2024 Factsheet"/>
    <x v="1"/>
    <x v="1"/>
    <x v="1"/>
    <m/>
    <m/>
    <m/>
    <m/>
    <n v="1.97"/>
    <n v="27.05"/>
    <x v="0"/>
    <m/>
    <x v="0"/>
    <m/>
    <x v="0"/>
  </r>
  <r>
    <s v="UKV - I-Q3 2024 Factsheet"/>
    <x v="1"/>
    <x v="1"/>
    <x v="2"/>
    <m/>
    <m/>
    <m/>
    <m/>
    <n v="2.0699999999999998"/>
    <n v="25.2"/>
    <x v="0"/>
    <m/>
    <x v="0"/>
    <m/>
    <x v="0"/>
  </r>
  <r>
    <s v="UKV - I-Q3 2024 Factsheet"/>
    <x v="1"/>
    <x v="1"/>
    <x v="4"/>
    <m/>
    <m/>
    <m/>
    <m/>
    <n v="2.1"/>
    <n v="25.65"/>
    <x v="0"/>
    <m/>
    <x v="0"/>
    <m/>
    <x v="0"/>
  </r>
  <r>
    <s v="UKV - III-Q3 2024 Factsheet"/>
    <x v="2"/>
    <x v="1"/>
    <x v="0"/>
    <m/>
    <m/>
    <m/>
    <m/>
    <n v="1.94"/>
    <n v="21.7"/>
    <x v="0"/>
    <m/>
    <x v="0"/>
    <m/>
    <x v="0"/>
  </r>
  <r>
    <s v="UKV - III-Q3 2024 Factsheet"/>
    <x v="2"/>
    <x v="1"/>
    <x v="1"/>
    <m/>
    <m/>
    <m/>
    <m/>
    <n v="1.99"/>
    <n v="23.58"/>
    <x v="0"/>
    <m/>
    <x v="0"/>
    <m/>
    <x v="0"/>
  </r>
  <r>
    <s v="UKV - III-Q3 2024 Factsheet"/>
    <x v="2"/>
    <x v="1"/>
    <x v="2"/>
    <m/>
    <m/>
    <m/>
    <m/>
    <n v="1.69"/>
    <n v="15.05"/>
    <x v="0"/>
    <m/>
    <x v="0"/>
    <m/>
    <x v="0"/>
  </r>
  <r>
    <s v="UKV - V-Q3 2024 Factsheet"/>
    <x v="3"/>
    <x v="4"/>
    <x v="0"/>
    <n v="16.600000000000001"/>
    <m/>
    <m/>
    <m/>
    <m/>
    <m/>
    <x v="0"/>
    <m/>
    <x v="0"/>
    <m/>
    <x v="0"/>
  </r>
  <r>
    <s v="UKV - V-Q3 2024 Factsheet"/>
    <x v="3"/>
    <x v="4"/>
    <x v="1"/>
    <n v="14.4"/>
    <m/>
    <m/>
    <m/>
    <m/>
    <m/>
    <x v="0"/>
    <m/>
    <x v="0"/>
    <m/>
    <x v="0"/>
  </r>
  <r>
    <s v="UKV - V-Q3 2024 Factsheet"/>
    <x v="3"/>
    <x v="4"/>
    <x v="2"/>
    <n v="18.100000000000001"/>
    <m/>
    <m/>
    <m/>
    <m/>
    <m/>
    <x v="0"/>
    <m/>
    <x v="0"/>
    <m/>
    <x v="0"/>
  </r>
  <r>
    <s v="UKV - V-Q3 2024 Factsheet"/>
    <x v="3"/>
    <x v="4"/>
    <x v="4"/>
    <n v="16.2"/>
    <m/>
    <m/>
    <m/>
    <m/>
    <m/>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4EEC22-51D0-4E4D-9FBA-F5A7DF34EC56}" name="Valuation" cacheId="1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rowHeaderCaption="Year">
  <location ref="A3:B8" firstHeaderRow="1" firstDataRow="1" firstDataCol="1"/>
  <pivotFields count="15">
    <pivotField showAll="0"/>
    <pivotField showAll="0">
      <items count="9">
        <item x="0"/>
        <item x="1"/>
        <item x="4"/>
        <item x="2"/>
        <item x="5"/>
        <item x="3"/>
        <item m="1" x="7"/>
        <item m="1" x="6"/>
        <item t="default"/>
      </items>
    </pivotField>
    <pivotField showAll="0">
      <items count="7">
        <item x="3"/>
        <item x="1"/>
        <item x="0"/>
        <item x="2"/>
        <item x="4"/>
        <item m="1" x="5"/>
        <item t="default"/>
      </items>
    </pivotField>
    <pivotField axis="axisRow" showAll="0">
      <items count="7">
        <item x="0"/>
        <item x="1"/>
        <item x="2"/>
        <item x="3"/>
        <item x="4"/>
        <item m="1" x="5"/>
        <item t="default"/>
      </items>
    </pivotField>
    <pivotField dataField="1" showAll="0"/>
    <pivotField showAll="0"/>
    <pivotField showAll="0"/>
    <pivotField showAll="0"/>
    <pivotField showAll="0"/>
    <pivotField showAll="0"/>
    <pivotField showAll="0"/>
    <pivotField showAll="0"/>
    <pivotField showAll="0"/>
    <pivotField showAll="0"/>
    <pivotField showAll="0">
      <items count="4">
        <item h="1" x="1"/>
        <item x="0"/>
        <item h="1" m="1" x="2"/>
        <item t="default"/>
      </items>
    </pivotField>
  </pivotFields>
  <rowFields count="1">
    <field x="3"/>
  </rowFields>
  <rowItems count="5">
    <i>
      <x/>
    </i>
    <i>
      <x v="1"/>
    </i>
    <i>
      <x v="2"/>
    </i>
    <i>
      <x v="4"/>
    </i>
    <i t="grand">
      <x/>
    </i>
  </rowItems>
  <colItems count="1">
    <i/>
  </colItems>
  <dataFields count="1">
    <dataField name="Sum of Valuation(M)" fld="4" baseField="0" baseItem="0"/>
  </dataFields>
  <chartFormats count="7">
    <chartFormat chart="0" format="1"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6" format="6">
      <pivotArea type="data" outline="0" fieldPosition="0">
        <references count="2">
          <reference field="4294967294" count="1" selected="0">
            <x v="0"/>
          </reference>
          <reference field="3" count="1" selected="0">
            <x v="0"/>
          </reference>
        </references>
      </pivotArea>
    </chartFormat>
    <chartFormat chart="6" format="7">
      <pivotArea type="data" outline="0" fieldPosition="0">
        <references count="2">
          <reference field="4294967294" count="1" selected="0">
            <x v="0"/>
          </reference>
          <reference field="3" count="1" selected="0">
            <x v="1"/>
          </reference>
        </references>
      </pivotArea>
    </chartFormat>
    <chartFormat chart="6" format="8">
      <pivotArea type="data" outline="0" fieldPosition="0">
        <references count="2">
          <reference field="4294967294" count="1" selected="0">
            <x v="0"/>
          </reference>
          <reference field="3" count="1" selected="0">
            <x v="2"/>
          </reference>
        </references>
      </pivotArea>
    </chartFormat>
    <chartFormat chart="6" format="9">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A1F02B-F6AC-4933-A78E-0591A9877F52}" name="Distribution" cacheId="1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rowHeaderCaption="Year">
  <location ref="A27:B32" firstHeaderRow="1" firstDataRow="1" firstDataCol="1"/>
  <pivotFields count="15">
    <pivotField showAll="0"/>
    <pivotField showAll="0">
      <items count="9">
        <item x="0"/>
        <item x="1"/>
        <item x="4"/>
        <item x="2"/>
        <item x="5"/>
        <item x="3"/>
        <item m="1" x="7"/>
        <item m="1" x="6"/>
        <item t="default"/>
      </items>
    </pivotField>
    <pivotField showAll="0">
      <items count="7">
        <item x="3"/>
        <item x="1"/>
        <item x="0"/>
        <item x="2"/>
        <item x="4"/>
        <item m="1" x="5"/>
        <item t="default"/>
      </items>
    </pivotField>
    <pivotField axis="axisRow" showAll="0">
      <items count="7">
        <item x="0"/>
        <item x="1"/>
        <item x="2"/>
        <item x="3"/>
        <item x="4"/>
        <item m="1" x="5"/>
        <item t="default"/>
      </items>
    </pivotField>
    <pivotField showAll="0"/>
    <pivotField showAll="0"/>
    <pivotField showAll="0"/>
    <pivotField dataField="1" showAll="0"/>
    <pivotField showAll="0"/>
    <pivotField showAll="0"/>
    <pivotField showAll="0"/>
    <pivotField showAll="0"/>
    <pivotField showAll="0"/>
    <pivotField showAll="0"/>
    <pivotField showAll="0">
      <items count="4">
        <item h="1" x="1"/>
        <item x="0"/>
        <item h="1" m="1" x="2"/>
        <item t="default"/>
      </items>
    </pivotField>
  </pivotFields>
  <rowFields count="1">
    <field x="3"/>
  </rowFields>
  <rowItems count="5">
    <i>
      <x/>
    </i>
    <i>
      <x v="1"/>
    </i>
    <i>
      <x v="2"/>
    </i>
    <i>
      <x v="4"/>
    </i>
    <i t="grand">
      <x/>
    </i>
  </rowItems>
  <colItems count="1">
    <i/>
  </colItems>
  <dataFields count="1">
    <dataField name="Average of Distribution" fld="7" subtotal="average" baseField="3" baseItem="0"/>
  </dataFields>
  <chartFormats count="6">
    <chartFormat chart="1"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3" count="1" selected="0">
            <x v="0"/>
          </reference>
        </references>
      </pivotArea>
    </chartFormat>
    <chartFormat chart="5" format="4">
      <pivotArea type="data" outline="0" fieldPosition="0">
        <references count="2">
          <reference field="4294967294" count="1" selected="0">
            <x v="0"/>
          </reference>
          <reference field="3" count="1" selected="0">
            <x v="1"/>
          </reference>
        </references>
      </pivotArea>
    </chartFormat>
    <chartFormat chart="5" format="5">
      <pivotArea type="data" outline="0" fieldPosition="0">
        <references count="2">
          <reference field="4294967294" count="1" selected="0">
            <x v="0"/>
          </reference>
          <reference field="3" count="1" selected="0">
            <x v="2"/>
          </reference>
        </references>
      </pivotArea>
    </chartFormat>
    <chartFormat chart="5" format="6">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075E32-C737-4373-96B3-D182FF62DFAA}" name="Net Rental" cacheId="1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rowHeaderCaption="Year">
  <location ref="A39:B44" firstHeaderRow="1" firstDataRow="1" firstDataCol="1"/>
  <pivotFields count="15">
    <pivotField showAll="0"/>
    <pivotField showAll="0">
      <items count="9">
        <item x="0"/>
        <item x="1"/>
        <item x="4"/>
        <item x="2"/>
        <item x="5"/>
        <item x="3"/>
        <item m="1" x="7"/>
        <item m="1" x="6"/>
        <item t="default"/>
      </items>
    </pivotField>
    <pivotField showAll="0">
      <items count="7">
        <item x="3"/>
        <item x="1"/>
        <item x="0"/>
        <item x="2"/>
        <item x="4"/>
        <item m="1" x="5"/>
        <item t="default"/>
      </items>
    </pivotField>
    <pivotField axis="axisRow" showAll="0">
      <items count="7">
        <item x="0"/>
        <item x="1"/>
        <item x="2"/>
        <item x="3"/>
        <item x="4"/>
        <item m="1" x="5"/>
        <item t="default"/>
      </items>
    </pivotField>
    <pivotField showAll="0"/>
    <pivotField showAll="0"/>
    <pivotField showAll="0"/>
    <pivotField showAll="0"/>
    <pivotField dataField="1" showAll="0"/>
    <pivotField showAll="0"/>
    <pivotField showAll="0"/>
    <pivotField showAll="0"/>
    <pivotField showAll="0"/>
    <pivotField showAll="0"/>
    <pivotField showAll="0">
      <items count="4">
        <item h="1" x="1"/>
        <item x="0"/>
        <item h="1" m="1" x="2"/>
        <item t="default"/>
      </items>
    </pivotField>
  </pivotFields>
  <rowFields count="1">
    <field x="3"/>
  </rowFields>
  <rowItems count="5">
    <i>
      <x/>
    </i>
    <i>
      <x v="1"/>
    </i>
    <i>
      <x v="2"/>
    </i>
    <i>
      <x v="4"/>
    </i>
    <i t="grand">
      <x/>
    </i>
  </rowItems>
  <colItems count="1">
    <i/>
  </colItems>
  <dataFields count="1">
    <dataField name="Net Rental Revenues (million)" fld="8" baseField="3"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D533D93-018C-418B-AC3D-3173EF17F555}" name="Contributor" cacheId="1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rowHeaderCaption="Contributor">
  <location ref="A78:B85" firstHeaderRow="1" firstDataRow="1" firstDataCol="1"/>
  <pivotFields count="15">
    <pivotField showAll="0"/>
    <pivotField showAll="0">
      <items count="9">
        <item x="0"/>
        <item x="1"/>
        <item x="4"/>
        <item x="2"/>
        <item x="5"/>
        <item x="3"/>
        <item m="1" x="7"/>
        <item m="1" x="6"/>
        <item t="default"/>
      </items>
    </pivotField>
    <pivotField showAll="0">
      <items count="7">
        <item x="3"/>
        <item x="1"/>
        <item x="0"/>
        <item x="2"/>
        <item x="4"/>
        <item m="1" x="5"/>
        <item t="default"/>
      </items>
    </pivotField>
    <pivotField showAll="0"/>
    <pivotField showAll="0"/>
    <pivotField showAll="0"/>
    <pivotField showAll="0"/>
    <pivotField showAll="0"/>
    <pivotField showAll="0"/>
    <pivotField showAll="0"/>
    <pivotField showAll="0"/>
    <pivotField showAll="0"/>
    <pivotField axis="axisRow" showAll="0" measureFilter="1">
      <items count="8">
        <item x="3"/>
        <item x="2"/>
        <item x="6"/>
        <item x="1"/>
        <item x="5"/>
        <item x="4"/>
        <item x="0"/>
        <item t="default"/>
      </items>
    </pivotField>
    <pivotField dataField="1" showAll="0"/>
    <pivotField showAll="0"/>
  </pivotFields>
  <rowFields count="1">
    <field x="12"/>
  </rowFields>
  <rowItems count="7">
    <i>
      <x/>
    </i>
    <i>
      <x v="1"/>
    </i>
    <i>
      <x v="2"/>
    </i>
    <i>
      <x v="3"/>
    </i>
    <i>
      <x v="4"/>
    </i>
    <i>
      <x v="5"/>
    </i>
    <i t="grand">
      <x/>
    </i>
  </rowItems>
  <colItems count="1">
    <i/>
  </colItems>
  <dataFields count="1">
    <dataField name="Contribution Value" fld="13" baseField="12" baseItem="0"/>
  </dataFields>
  <chartFormats count="16">
    <chartFormat chart="0" format="0"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2" count="1" selected="0">
            <x v="0"/>
          </reference>
        </references>
      </pivotArea>
    </chartFormat>
    <chartFormat chart="3" format="10">
      <pivotArea type="data" outline="0" fieldPosition="0">
        <references count="2">
          <reference field="4294967294" count="1" selected="0">
            <x v="0"/>
          </reference>
          <reference field="12" count="1" selected="0">
            <x v="1"/>
          </reference>
        </references>
      </pivotArea>
    </chartFormat>
    <chartFormat chart="3" format="11">
      <pivotArea type="data" outline="0" fieldPosition="0">
        <references count="2">
          <reference field="4294967294" count="1" selected="0">
            <x v="0"/>
          </reference>
          <reference field="12" count="1" selected="0">
            <x v="2"/>
          </reference>
        </references>
      </pivotArea>
    </chartFormat>
    <chartFormat chart="3" format="12">
      <pivotArea type="data" outline="0" fieldPosition="0">
        <references count="2">
          <reference field="4294967294" count="1" selected="0">
            <x v="0"/>
          </reference>
          <reference field="12" count="1" selected="0">
            <x v="3"/>
          </reference>
        </references>
      </pivotArea>
    </chartFormat>
    <chartFormat chart="3" format="13">
      <pivotArea type="data" outline="0" fieldPosition="0">
        <references count="2">
          <reference field="4294967294" count="1" selected="0">
            <x v="0"/>
          </reference>
          <reference field="12" count="1" selected="0">
            <x v="4"/>
          </reference>
        </references>
      </pivotArea>
    </chartFormat>
    <chartFormat chart="3" format="14">
      <pivotArea type="data" outline="0" fieldPosition="0">
        <references count="2">
          <reference field="4294967294" count="1" selected="0">
            <x v="0"/>
          </reference>
          <reference field="12" count="1" selected="0">
            <x v="5"/>
          </reference>
        </references>
      </pivotArea>
    </chartFormat>
    <chartFormat chart="0" format="1">
      <pivotArea type="data" outline="0" fieldPosition="0">
        <references count="2">
          <reference field="4294967294" count="1" selected="0">
            <x v="0"/>
          </reference>
          <reference field="12" count="1" selected="0">
            <x v="0"/>
          </reference>
        </references>
      </pivotArea>
    </chartFormat>
    <chartFormat chart="0" format="2">
      <pivotArea type="data" outline="0" fieldPosition="0">
        <references count="2">
          <reference field="4294967294" count="1" selected="0">
            <x v="0"/>
          </reference>
          <reference field="12" count="1" selected="0">
            <x v="1"/>
          </reference>
        </references>
      </pivotArea>
    </chartFormat>
    <chartFormat chart="0" format="3">
      <pivotArea type="data" outline="0" fieldPosition="0">
        <references count="2">
          <reference field="4294967294" count="1" selected="0">
            <x v="0"/>
          </reference>
          <reference field="12" count="1" selected="0">
            <x v="2"/>
          </reference>
        </references>
      </pivotArea>
    </chartFormat>
    <chartFormat chart="0" format="4">
      <pivotArea type="data" outline="0" fieldPosition="0">
        <references count="2">
          <reference field="4294967294" count="1" selected="0">
            <x v="0"/>
          </reference>
          <reference field="12" count="1" selected="0">
            <x v="3"/>
          </reference>
        </references>
      </pivotArea>
    </chartFormat>
    <chartFormat chart="0" format="5">
      <pivotArea type="data" outline="0" fieldPosition="0">
        <references count="2">
          <reference field="4294967294" count="1" selected="0">
            <x v="0"/>
          </reference>
          <reference field="12" count="1" selected="0">
            <x v="4"/>
          </reference>
        </references>
      </pivotArea>
    </chartFormat>
    <chartFormat chart="0" format="6">
      <pivotArea type="data" outline="0" fieldPosition="0">
        <references count="2">
          <reference field="4294967294" count="1" selected="0">
            <x v="0"/>
          </reference>
          <reference field="12" count="1" selected="0">
            <x v="5"/>
          </reference>
        </references>
      </pivotArea>
    </chartFormat>
    <chartFormat chart="3" format="15">
      <pivotArea type="data" outline="0" fieldPosition="0">
        <references count="1">
          <reference field="4294967294" count="1" selected="0">
            <x v="0"/>
          </reference>
        </references>
      </pivotArea>
    </chartFormat>
    <chartFormat chart="0" format="7">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2" type="valueGreaterThan" evalOrder="-1" id="3"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061FA65-8FBA-49A9-81EC-A68CD158DC05}" name="Range" cacheId="1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rowHeaderCaption="Year Range">
  <location ref="A63:B71" firstHeaderRow="1" firstDataRow="1" firstDataCol="1"/>
  <pivotFields count="15">
    <pivotField showAll="0"/>
    <pivotField showAll="0">
      <items count="9">
        <item x="0"/>
        <item x="1"/>
        <item x="4"/>
        <item x="2"/>
        <item x="5"/>
        <item x="3"/>
        <item m="1" x="7"/>
        <item m="1" x="6"/>
        <item t="default"/>
      </items>
    </pivotField>
    <pivotField showAll="0">
      <items count="7">
        <item x="3"/>
        <item x="1"/>
        <item x="0"/>
        <item x="2"/>
        <item x="4"/>
        <item m="1" x="5"/>
        <item t="default"/>
      </items>
    </pivotField>
    <pivotField showAll="0"/>
    <pivotField showAll="0"/>
    <pivotField showAll="0"/>
    <pivotField showAll="0"/>
    <pivotField showAll="0"/>
    <pivotField showAll="0"/>
    <pivotField showAll="0"/>
    <pivotField axis="axisRow" showAll="0" measureFilter="1">
      <items count="9">
        <item x="1"/>
        <item x="2"/>
        <item x="3"/>
        <item x="0"/>
        <item x="4"/>
        <item x="5"/>
        <item x="6"/>
        <item x="7"/>
        <item t="default"/>
      </items>
    </pivotField>
    <pivotField dataField="1" showAll="0"/>
    <pivotField showAll="0"/>
    <pivotField showAll="0"/>
    <pivotField showAll="0"/>
  </pivotFields>
  <rowFields count="1">
    <field x="10"/>
  </rowFields>
  <rowItems count="8">
    <i>
      <x/>
    </i>
    <i>
      <x v="1"/>
    </i>
    <i>
      <x v="2"/>
    </i>
    <i>
      <x v="4"/>
    </i>
    <i>
      <x v="5"/>
    </i>
    <i>
      <x v="6"/>
    </i>
    <i>
      <x v="7"/>
    </i>
    <i t="grand">
      <x/>
    </i>
  </rowItems>
  <colItems count="1">
    <i/>
  </colItems>
  <dataFields count="1">
    <dataField name="Average of Wault Percentage" fld="11" subtotal="average" baseField="10" baseItem="0"/>
  </dataFields>
  <chartFormats count="16">
    <chartFormat chart="0"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0" count="1" selected="0">
            <x v="0"/>
          </reference>
        </references>
      </pivotArea>
    </chartFormat>
    <chartFormat chart="3" format="7">
      <pivotArea type="data" outline="0" fieldPosition="0">
        <references count="2">
          <reference field="4294967294" count="1" selected="0">
            <x v="0"/>
          </reference>
          <reference field="10" count="1" selected="0">
            <x v="1"/>
          </reference>
        </references>
      </pivotArea>
    </chartFormat>
    <chartFormat chart="3" format="8">
      <pivotArea type="data" outline="0" fieldPosition="0">
        <references count="2">
          <reference field="4294967294" count="1" selected="0">
            <x v="0"/>
          </reference>
          <reference field="10" count="1" selected="0">
            <x v="2"/>
          </reference>
        </references>
      </pivotArea>
    </chartFormat>
    <chartFormat chart="3" format="9">
      <pivotArea type="data" outline="0" fieldPosition="0">
        <references count="2">
          <reference field="4294967294" count="1" selected="0">
            <x v="0"/>
          </reference>
          <reference field="10" count="1" selected="0">
            <x v="4"/>
          </reference>
        </references>
      </pivotArea>
    </chartFormat>
    <chartFormat chart="3" format="10">
      <pivotArea type="data" outline="0" fieldPosition="0">
        <references count="2">
          <reference field="4294967294" count="1" selected="0">
            <x v="0"/>
          </reference>
          <reference field="10" count="1" selected="0">
            <x v="5"/>
          </reference>
        </references>
      </pivotArea>
    </chartFormat>
    <chartFormat chart="3" format="11">
      <pivotArea type="data" outline="0" fieldPosition="0">
        <references count="2">
          <reference field="4294967294" count="1" selected="0">
            <x v="0"/>
          </reference>
          <reference field="10" count="1" selected="0">
            <x v="6"/>
          </reference>
        </references>
      </pivotArea>
    </chartFormat>
    <chartFormat chart="3" format="12">
      <pivotArea type="data" outline="0" fieldPosition="0">
        <references count="2">
          <reference field="4294967294" count="1" selected="0">
            <x v="0"/>
          </reference>
          <reference field="10" count="1" selected="0">
            <x v="7"/>
          </reference>
        </references>
      </pivotArea>
    </chartFormat>
    <chartFormat chart="0" format="1">
      <pivotArea type="data" outline="0" fieldPosition="0">
        <references count="2">
          <reference field="4294967294" count="1" selected="0">
            <x v="0"/>
          </reference>
          <reference field="10" count="1" selected="0">
            <x v="0"/>
          </reference>
        </references>
      </pivotArea>
    </chartFormat>
    <chartFormat chart="0" format="2">
      <pivotArea type="data" outline="0" fieldPosition="0">
        <references count="2">
          <reference field="4294967294" count="1" selected="0">
            <x v="0"/>
          </reference>
          <reference field="10" count="1" selected="0">
            <x v="1"/>
          </reference>
        </references>
      </pivotArea>
    </chartFormat>
    <chartFormat chart="0" format="3">
      <pivotArea type="data" outline="0" fieldPosition="0">
        <references count="2">
          <reference field="4294967294" count="1" selected="0">
            <x v="0"/>
          </reference>
          <reference field="10" count="1" selected="0">
            <x v="2"/>
          </reference>
        </references>
      </pivotArea>
    </chartFormat>
    <chartFormat chart="0" format="4">
      <pivotArea type="data" outline="0" fieldPosition="0">
        <references count="2">
          <reference field="4294967294" count="1" selected="0">
            <x v="0"/>
          </reference>
          <reference field="10" count="1" selected="0">
            <x v="4"/>
          </reference>
        </references>
      </pivotArea>
    </chartFormat>
    <chartFormat chart="0" format="5">
      <pivotArea type="data" outline="0" fieldPosition="0">
        <references count="2">
          <reference field="4294967294" count="1" selected="0">
            <x v="0"/>
          </reference>
          <reference field="10" count="1" selected="0">
            <x v="5"/>
          </reference>
        </references>
      </pivotArea>
    </chartFormat>
    <chartFormat chart="0" format="6">
      <pivotArea type="data" outline="0" fieldPosition="0">
        <references count="2">
          <reference field="4294967294" count="1" selected="0">
            <x v="0"/>
          </reference>
          <reference field="10" count="1" selected="0">
            <x v="6"/>
          </reference>
        </references>
      </pivotArea>
    </chartFormat>
    <chartFormat chart="0" format="7">
      <pivotArea type="data" outline="0" fieldPosition="0">
        <references count="2">
          <reference field="4294967294" count="1" selected="0">
            <x v="0"/>
          </reference>
          <reference field="10" count="1" selected="0">
            <x v="7"/>
          </reference>
        </references>
      </pivotArea>
    </chartFormat>
  </chartFormats>
  <pivotTableStyleInfo name="PivotStyleLight16" showRowHeaders="1" showColHeaders="1" showRowStripes="0" showColStripes="0" showLastColumn="1"/>
  <filters count="1">
    <filter fld="10" type="valueGreaterThan" evalOrder="-1" id="3"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BE4CD9-81DC-4BC5-845C-DF12E63A9F4F}" name="Property" cacheId="1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rowHeaderCaption="Year">
  <location ref="A51:B56" firstHeaderRow="1" firstDataRow="1" firstDataCol="1"/>
  <pivotFields count="15">
    <pivotField showAll="0"/>
    <pivotField showAll="0">
      <items count="9">
        <item x="0"/>
        <item x="1"/>
        <item x="4"/>
        <item x="2"/>
        <item x="5"/>
        <item x="3"/>
        <item m="1" x="7"/>
        <item m="1" x="6"/>
        <item t="default"/>
      </items>
    </pivotField>
    <pivotField showAll="0">
      <items count="7">
        <item x="3"/>
        <item x="1"/>
        <item x="0"/>
        <item x="2"/>
        <item x="4"/>
        <item m="1" x="5"/>
        <item t="default"/>
      </items>
    </pivotField>
    <pivotField axis="axisRow" showAll="0">
      <items count="7">
        <item x="0"/>
        <item x="1"/>
        <item x="2"/>
        <item x="3"/>
        <item x="4"/>
        <item m="1" x="5"/>
        <item t="default"/>
      </items>
    </pivotField>
    <pivotField showAll="0"/>
    <pivotField showAll="0"/>
    <pivotField showAll="0"/>
    <pivotField showAll="0"/>
    <pivotField showAll="0"/>
    <pivotField dataField="1" showAll="0"/>
    <pivotField showAll="0"/>
    <pivotField showAll="0"/>
    <pivotField showAll="0"/>
    <pivotField showAll="0"/>
    <pivotField showAll="0">
      <items count="4">
        <item h="1" x="1"/>
        <item x="0"/>
        <item h="1" m="1" x="2"/>
        <item t="default"/>
      </items>
    </pivotField>
  </pivotFields>
  <rowFields count="1">
    <field x="3"/>
  </rowFields>
  <rowItems count="5">
    <i>
      <x/>
    </i>
    <i>
      <x v="1"/>
    </i>
    <i>
      <x v="2"/>
    </i>
    <i>
      <x v="4"/>
    </i>
    <i t="grand">
      <x/>
    </i>
  </rowItems>
  <colItems count="1">
    <i/>
  </colItems>
  <dataFields count="1">
    <dataField name="Property Valuation Trends (million)" fld="9" baseField="3" baseItem="0"/>
  </dataFields>
  <chartFormats count="6">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3" count="1" selected="0">
            <x v="0"/>
          </reference>
        </references>
      </pivotArea>
    </chartFormat>
    <chartFormat chart="4" format="4">
      <pivotArea type="data" outline="0" fieldPosition="0">
        <references count="2">
          <reference field="4294967294" count="1" selected="0">
            <x v="0"/>
          </reference>
          <reference field="3" count="1" selected="0">
            <x v="1"/>
          </reference>
        </references>
      </pivotArea>
    </chartFormat>
    <chartFormat chart="4" format="5">
      <pivotArea type="data" outline="0" fieldPosition="0">
        <references count="2">
          <reference field="4294967294" count="1" selected="0">
            <x v="0"/>
          </reference>
          <reference field="3" count="1" selected="0">
            <x v="2"/>
          </reference>
        </references>
      </pivotArea>
    </chartFormat>
    <chartFormat chart="4" format="6">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E55E80A-47EB-40F5-8500-210839296BB9}" name="Occupacy" cacheId="1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rowHeaderCaption="Year">
  <location ref="A15:B20" firstHeaderRow="1" firstDataRow="1" firstDataCol="1"/>
  <pivotFields count="15">
    <pivotField showAll="0"/>
    <pivotField showAll="0">
      <items count="9">
        <item x="0"/>
        <item x="1"/>
        <item x="4"/>
        <item x="2"/>
        <item x="5"/>
        <item x="3"/>
        <item m="1" x="7"/>
        <item m="1" x="6"/>
        <item t="default"/>
      </items>
    </pivotField>
    <pivotField showAll="0">
      <items count="7">
        <item x="3"/>
        <item x="1"/>
        <item x="0"/>
        <item x="2"/>
        <item x="4"/>
        <item m="1" x="5"/>
        <item t="default"/>
      </items>
    </pivotField>
    <pivotField axis="axisRow" showAll="0">
      <items count="7">
        <item x="0"/>
        <item x="1"/>
        <item x="2"/>
        <item x="3"/>
        <item x="4"/>
        <item m="1" x="5"/>
        <item t="default"/>
      </items>
    </pivotField>
    <pivotField showAll="0"/>
    <pivotField showAll="0"/>
    <pivotField dataField="1" showAll="0"/>
    <pivotField showAll="0"/>
    <pivotField showAll="0"/>
    <pivotField showAll="0"/>
    <pivotField showAll="0"/>
    <pivotField showAll="0"/>
    <pivotField showAll="0"/>
    <pivotField showAll="0"/>
    <pivotField showAll="0">
      <items count="4">
        <item h="1" x="1"/>
        <item x="0"/>
        <item h="1" m="1" x="2"/>
        <item t="default"/>
      </items>
    </pivotField>
  </pivotFields>
  <rowFields count="1">
    <field x="3"/>
  </rowFields>
  <rowItems count="5">
    <i>
      <x/>
    </i>
    <i>
      <x v="1"/>
    </i>
    <i>
      <x v="2"/>
    </i>
    <i>
      <x v="4"/>
    </i>
    <i t="grand">
      <x/>
    </i>
  </rowItems>
  <colItems count="1">
    <i/>
  </colItems>
  <dataFields count="1">
    <dataField name="Average of Occupacy" fld="6" subtotal="average" baseField="3" baseItem="0" numFmtId="164"/>
  </dataFields>
  <formats count="1">
    <format dxfId="14">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3" count="1" selected="0">
            <x v="1"/>
          </reference>
        </references>
      </pivotArea>
    </chartFormat>
    <chartFormat chart="3" format="4">
      <pivotArea type="data" outline="0" fieldPosition="0">
        <references count="2">
          <reference field="4294967294" count="1" selected="0">
            <x v="0"/>
          </reference>
          <reference field="3" count="1" selected="0">
            <x v="2"/>
          </reference>
        </references>
      </pivotArea>
    </chartFormat>
    <chartFormat chart="3" format="5">
      <pivotArea type="data" outline="0" fieldPosition="0">
        <references count="2">
          <reference field="4294967294" count="1" selected="0">
            <x v="0"/>
          </reference>
          <reference field="3" count="1" selected="0">
            <x v="4"/>
          </reference>
        </references>
      </pivotArea>
    </chartFormat>
    <chartFormat chart="3" format="6">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__Name" xr10:uid="{C258C21B-1928-4751-A197-63ADCA614F93}" sourceName="Company - Name">
  <pivotTables>
    <pivotTable tabId="11" name="Contributor"/>
    <pivotTable tabId="11" name="Distribution"/>
    <pivotTable tabId="11" name="Net Rental"/>
    <pivotTable tabId="11" name="Occupacy"/>
    <pivotTable tabId="11" name="Property"/>
    <pivotTable tabId="11" name="Range"/>
    <pivotTable tabId="11" name="Valuation"/>
  </pivotTables>
  <data>
    <tabular pivotCacheId="1183277416">
      <items count="8">
        <i x="0" s="1"/>
        <i x="1" s="1"/>
        <i x="4" s="1"/>
        <i x="2" s="1"/>
        <i x="5" s="1"/>
        <i x="3" s="1"/>
        <i x="7" s="1" nd="1"/>
        <i x="6"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44E8C6F-312C-45DA-9ED4-9CF41516AD83}" sourceName="Year">
  <pivotTables>
    <pivotTable tabId="11" name="Valuation"/>
    <pivotTable tabId="11" name="Distribution"/>
    <pivotTable tabId="11" name="Net Rental"/>
    <pivotTable tabId="11" name="Occupacy"/>
    <pivotTable tabId="11" name="Property"/>
  </pivotTables>
  <data>
    <tabular pivotCacheId="1183277416">
      <items count="6">
        <i x="0" s="1"/>
        <i x="1" s="1"/>
        <i x="2" s="1"/>
        <i x="4" s="1"/>
        <i x="5" s="1" nd="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perty_name_Asset_Class" xr10:uid="{C9541566-DF99-4923-87B7-20DDDB72D2C5}" sourceName="Property name/Asset Class">
  <pivotTables>
    <pivotTable tabId="11" name="Contributor"/>
    <pivotTable tabId="11" name="Distribution"/>
    <pivotTable tabId="11" name="Net Rental"/>
    <pivotTable tabId="11" name="Occupacy"/>
    <pivotTable tabId="11" name="Property"/>
    <pivotTable tabId="11" name="Range"/>
    <pivotTable tabId="11" name="Valuation"/>
  </pivotTables>
  <data>
    <tabular pivotCacheId="1183277416">
      <items count="6">
        <i x="3" s="1"/>
        <i x="1" s="1"/>
        <i x="0" s="1"/>
        <i x="2" s="1"/>
        <i x="4" s="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 xr10:uid="{4F32F348-5545-401D-8A56-6F80DB6F0B0D}" sourceName="Check">
  <pivotTables>
    <pivotTable tabId="11" name="Valuation"/>
    <pivotTable tabId="11" name="Distribution"/>
    <pivotTable tabId="11" name="Net Rental"/>
    <pivotTable tabId="11" name="Occupacy"/>
    <pivotTable tabId="11" name="Property"/>
  </pivotTables>
  <data>
    <tabular pivotCacheId="1183277416">
      <items count="3">
        <i x="0" s="1"/>
        <i x="1" nd="1"/>
        <i x="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xr10:uid="{59CF23EB-D4A6-4B20-8CC4-85DA68E5BFB6}" cache="Slicer_Company___Name" columnCount="3" rowHeight="241300"/>
  <slicer name="Date" xr10:uid="{5BB43C57-9182-4AA9-860B-33D23D66E702}" cache="Slicer_Year" columnCount="2" rowHeight="241300"/>
  <slicer name="Property" xr10:uid="{C84D89F7-FB19-4469-A608-E25806D7E858}" cache="Slicer_Property_name_Asset_Class" columnCount="3"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 Name" xr10:uid="{62EF2713-FD6D-4711-9D63-98233F320113}" cache="Slicer_Company___Name" caption="Company - Name" rowHeight="241300"/>
  <slicer name="Year" xr10:uid="{66B8AD1C-D735-42B4-8FAA-C7378582BA9C}" cache="Slicer_Year" caption="Year" rowHeight="241300"/>
  <slicer name="Property name/Asset Class" xr10:uid="{966D6638-F209-4573-8476-F96AA5A1542A}" cache="Slicer_Property_name_Asset_Class" caption="Property name/Asset Class" rowHeight="241300"/>
  <slicer name="Check" xr10:uid="{DD80B154-F687-4494-8DDC-73458B552551}" cache="Slicer_Check" caption="Chec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FE8B-4389-4E7E-AFD1-068B074F9B5B}" name="MixedFruit" displayName="MixedFruit" ref="A1:O79" totalsRowShown="0" dataDxfId="13">
  <autoFilter ref="A1:O79" xr:uid="{CD3DFE8B-4389-4E7E-AFD1-068B074F9B5B}"/>
  <tableColumns count="15">
    <tableColumn id="1" xr3:uid="{8C021DA2-8662-4D6E-94DB-25A9BDC5682C}" name="Company Name (Factsheet)" dataDxfId="12"/>
    <tableColumn id="2" xr3:uid="{31A5F713-C2F1-475D-8FEA-DED02CDF29E5}" name="Company - Name" dataDxfId="11"/>
    <tableColumn id="3" xr3:uid="{65881BD6-8891-468A-B03A-1A9DD2E85A2A}" name="Property name/Asset Class" dataDxfId="10"/>
    <tableColumn id="4" xr3:uid="{A20BA3B5-AADE-43AB-8025-3B2D632736F7}" name="Year" dataDxfId="9"/>
    <tableColumn id="5" xr3:uid="{A6767586-3DA5-46F9-8017-BC696ED8DCEB}" name="Valuation(M)" dataDxfId="8"/>
    <tableColumn id="6" xr3:uid="{B0E6FA99-2122-480A-87D2-37C81AFDD14B}" name="NOI(M)" dataDxfId="7"/>
    <tableColumn id="7" xr3:uid="{AC593BDD-07C4-451B-AEEF-7A486F417DC4}" name="Occupacy" dataDxfId="6"/>
    <tableColumn id="8" xr3:uid="{3598BFA0-C58E-4B36-8E75-DFFDB291090B}" name="Distribution" dataDxfId="5"/>
    <tableColumn id="9" xr3:uid="{BFF68C98-D6A3-4DD6-B343-F87A3D139B93}" name="Net Rental Revenues (M)" dataDxfId="4"/>
    <tableColumn id="10" xr3:uid="{4A68B7B0-D176-46DC-83C1-E976690662A3}" name="Property Valuation Trends (M)" dataDxfId="3"/>
    <tableColumn id="11" xr3:uid="{4F206ABC-19A5-4EAD-AD03-F3C4DC36EBF1}" name="Year Wise Wault" dataDxfId="2"/>
    <tableColumn id="12" xr3:uid="{8891E8F5-F5E7-415F-8D9D-2F3B2F1228C9}" name="Wault Percentage" dataDxfId="1"/>
    <tableColumn id="13" xr3:uid="{3745FA4A-7F04-423B-ACD9-C9DAC7C5C7CB}" name="Rent Contributor"/>
    <tableColumn id="14" xr3:uid="{3AE7FF0F-CDF1-4C8C-B04A-7E4A190B95FD}" name="Contributor Value"/>
    <tableColumn id="15" xr3:uid="{346D4BCD-4C97-4199-87DF-898DC080A996}" name="Check" dataDxfId="0">
      <calculatedColumnFormula>ISNUMBER(MixedFruit[[#This Row],[Year]])</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2.xml"/><Relationship Id="rId4" Type="http://schemas.openxmlformats.org/officeDocument/2006/relationships/pivotTable" Target="../pivotTables/pivotTable4.xm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935F2-40A9-4BB8-82CB-B028B5AEBE0E}">
  <sheetPr codeName="Sheet1">
    <tabColor theme="4" tint="0.39997558519241921"/>
    <pageSetUpPr fitToPage="1"/>
  </sheetPr>
  <dimension ref="Y1:AC33"/>
  <sheetViews>
    <sheetView showGridLines="0" tabSelected="1" zoomScaleNormal="100" zoomScaleSheetLayoutView="85" workbookViewId="0"/>
  </sheetViews>
  <sheetFormatPr defaultColWidth="9.140625" defaultRowHeight="15" zeroHeight="1" x14ac:dyDescent="0.25"/>
  <cols>
    <col min="1" max="2" width="9.140625" customWidth="1"/>
    <col min="3" max="3" width="8.85546875" customWidth="1"/>
    <col min="4" max="24" width="9.140625" customWidth="1"/>
    <col min="25" max="25" width="23.7109375" customWidth="1"/>
  </cols>
  <sheetData>
    <row r="1" spans="25:29" x14ac:dyDescent="0.25"/>
    <row r="2" spans="25:29" x14ac:dyDescent="0.25"/>
    <row r="3" spans="25:29" x14ac:dyDescent="0.25"/>
    <row r="4" spans="25:29" x14ac:dyDescent="0.25"/>
    <row r="5" spans="25:29" x14ac:dyDescent="0.25"/>
    <row r="6" spans="25:29" x14ac:dyDescent="0.25">
      <c r="Y6" s="24"/>
    </row>
    <row r="7" spans="25:29" x14ac:dyDescent="0.25"/>
    <row r="8" spans="25:29" x14ac:dyDescent="0.25">
      <c r="Y8" s="22"/>
    </row>
    <row r="9" spans="25:29" x14ac:dyDescent="0.25"/>
    <row r="10" spans="25:29" ht="15.75" thickBot="1" x14ac:dyDescent="0.3"/>
    <row r="11" spans="25:29" x14ac:dyDescent="0.25">
      <c r="Y11" s="19"/>
      <c r="Z11" s="20"/>
      <c r="AA11" s="20"/>
      <c r="AB11" s="20"/>
      <c r="AC11" s="21"/>
    </row>
    <row r="12" spans="25:29" ht="28.5" x14ac:dyDescent="0.45">
      <c r="Y12" s="28" t="s">
        <v>69</v>
      </c>
      <c r="Z12" s="29"/>
      <c r="AA12" s="29"/>
      <c r="AB12" s="29"/>
      <c r="AC12" s="30"/>
    </row>
    <row r="13" spans="25:29" x14ac:dyDescent="0.25">
      <c r="Y13" s="31"/>
      <c r="Z13" s="32"/>
      <c r="AA13" s="32"/>
      <c r="AB13" s="32"/>
      <c r="AC13" s="33"/>
    </row>
    <row r="14" spans="25:29" x14ac:dyDescent="0.25">
      <c r="Y14" s="31"/>
      <c r="Z14" s="32"/>
      <c r="AA14" s="32"/>
      <c r="AB14" s="32"/>
      <c r="AC14" s="33"/>
    </row>
    <row r="15" spans="25:29" x14ac:dyDescent="0.25">
      <c r="Y15" s="31"/>
      <c r="Z15" s="32"/>
      <c r="AA15" s="32"/>
      <c r="AB15" s="32"/>
      <c r="AC15" s="33"/>
    </row>
    <row r="16" spans="25:29" x14ac:dyDescent="0.25">
      <c r="Y16" s="31"/>
      <c r="Z16" s="32"/>
      <c r="AA16" s="32"/>
      <c r="AB16" s="32"/>
      <c r="AC16" s="33"/>
    </row>
    <row r="17" spans="25:29" x14ac:dyDescent="0.25">
      <c r="Y17" s="31"/>
      <c r="Z17" s="32"/>
      <c r="AA17" s="32"/>
      <c r="AB17" s="32"/>
      <c r="AC17" s="33"/>
    </row>
    <row r="18" spans="25:29" x14ac:dyDescent="0.25">
      <c r="Y18" s="31"/>
      <c r="Z18" s="32"/>
      <c r="AA18" s="32"/>
      <c r="AB18" s="32"/>
      <c r="AC18" s="33"/>
    </row>
    <row r="19" spans="25:29" x14ac:dyDescent="0.25">
      <c r="Y19" s="31"/>
      <c r="Z19" s="32"/>
      <c r="AA19" s="32"/>
      <c r="AB19" s="32"/>
      <c r="AC19" s="33"/>
    </row>
    <row r="20" spans="25:29" x14ac:dyDescent="0.25">
      <c r="Y20" s="31"/>
      <c r="Z20" s="32"/>
      <c r="AA20" s="32"/>
      <c r="AB20" s="32"/>
      <c r="AC20" s="33"/>
    </row>
    <row r="21" spans="25:29" x14ac:dyDescent="0.25">
      <c r="Y21" s="31"/>
      <c r="Z21" s="32"/>
      <c r="AA21" s="32"/>
      <c r="AB21" s="32"/>
      <c r="AC21" s="33"/>
    </row>
    <row r="22" spans="25:29" x14ac:dyDescent="0.25">
      <c r="Y22" s="31"/>
      <c r="Z22" s="32"/>
      <c r="AA22" s="32"/>
      <c r="AB22" s="32"/>
      <c r="AC22" s="33"/>
    </row>
    <row r="23" spans="25:29" x14ac:dyDescent="0.25">
      <c r="Y23" s="31"/>
      <c r="Z23" s="32"/>
      <c r="AA23" s="32"/>
      <c r="AB23" s="32"/>
      <c r="AC23" s="33"/>
    </row>
    <row r="24" spans="25:29" x14ac:dyDescent="0.25">
      <c r="Y24" s="31"/>
      <c r="Z24" s="32"/>
      <c r="AA24" s="32"/>
      <c r="AB24" s="32"/>
      <c r="AC24" s="33"/>
    </row>
    <row r="25" spans="25:29" x14ac:dyDescent="0.25">
      <c r="Y25" s="31"/>
      <c r="Z25" s="32"/>
      <c r="AA25" s="32"/>
      <c r="AB25" s="32"/>
      <c r="AC25" s="33"/>
    </row>
    <row r="26" spans="25:29" x14ac:dyDescent="0.25">
      <c r="Y26" s="31"/>
      <c r="Z26" s="32"/>
      <c r="AA26" s="32"/>
      <c r="AB26" s="32"/>
      <c r="AC26" s="33"/>
    </row>
    <row r="27" spans="25:29" x14ac:dyDescent="0.25">
      <c r="Y27" s="31"/>
      <c r="Z27" s="32"/>
      <c r="AA27" s="32"/>
      <c r="AB27" s="32"/>
      <c r="AC27" s="33"/>
    </row>
    <row r="28" spans="25:29" x14ac:dyDescent="0.25">
      <c r="Y28" s="31"/>
      <c r="Z28" s="32"/>
      <c r="AA28" s="32"/>
      <c r="AB28" s="32"/>
      <c r="AC28" s="33"/>
    </row>
    <row r="29" spans="25:29" x14ac:dyDescent="0.25">
      <c r="Y29" s="31"/>
      <c r="Z29" s="32"/>
      <c r="AA29" s="32"/>
      <c r="AB29" s="32"/>
      <c r="AC29" s="33"/>
    </row>
    <row r="30" spans="25:29" x14ac:dyDescent="0.25">
      <c r="Y30" s="31"/>
      <c r="Z30" s="32"/>
      <c r="AA30" s="32"/>
      <c r="AB30" s="32"/>
      <c r="AC30" s="33"/>
    </row>
    <row r="31" spans="25:29" x14ac:dyDescent="0.25">
      <c r="Y31" s="31"/>
      <c r="Z31" s="32"/>
      <c r="AA31" s="32"/>
      <c r="AB31" s="32"/>
      <c r="AC31" s="33"/>
    </row>
    <row r="32" spans="25:29" ht="19.5" customHeight="1" thickBot="1" x14ac:dyDescent="0.3">
      <c r="Y32" s="34"/>
      <c r="Z32" s="35"/>
      <c r="AA32" s="35"/>
      <c r="AB32" s="35"/>
      <c r="AC32" s="36"/>
    </row>
    <row r="33" x14ac:dyDescent="0.25"/>
  </sheetData>
  <mergeCells count="2">
    <mergeCell ref="Y12:AC12"/>
    <mergeCell ref="Y13:AC32"/>
  </mergeCells>
  <pageMargins left="0.7" right="0.7" top="0.75" bottom="0.75" header="0.3" footer="0.3"/>
  <pageSetup scale="5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A8814-E1F7-4162-BA12-A6F4275890EB}">
  <sheetPr codeName="Sheet4"/>
  <dimension ref="A1:A84"/>
  <sheetViews>
    <sheetView workbookViewId="0">
      <pane ySplit="1" topLeftCell="A2" activePane="bottomLeft" state="frozen"/>
      <selection pane="bottomLeft" activeCell="A2" sqref="A2"/>
    </sheetView>
  </sheetViews>
  <sheetFormatPr defaultRowHeight="15" x14ac:dyDescent="0.25"/>
  <cols>
    <col min="1" max="1" width="15.85546875" bestFit="1" customWidth="1"/>
  </cols>
  <sheetData>
    <row r="1" spans="1:1" x14ac:dyDescent="0.25">
      <c r="A1" t="s">
        <v>71</v>
      </c>
    </row>
    <row r="2" spans="1:1" x14ac:dyDescent="0.25">
      <c r="A2" s="16"/>
    </row>
    <row r="7" spans="1:1" x14ac:dyDescent="0.25">
      <c r="A7" s="16"/>
    </row>
    <row r="8" spans="1:1" x14ac:dyDescent="0.25">
      <c r="A8" s="16"/>
    </row>
    <row r="9" spans="1:1" x14ac:dyDescent="0.25">
      <c r="A9" s="16"/>
    </row>
    <row r="10" spans="1:1" x14ac:dyDescent="0.25">
      <c r="A10" s="16"/>
    </row>
    <row r="11" spans="1:1" x14ac:dyDescent="0.25">
      <c r="A11" s="16"/>
    </row>
    <row r="12" spans="1:1" x14ac:dyDescent="0.25">
      <c r="A12" s="16"/>
    </row>
    <row r="13" spans="1:1" x14ac:dyDescent="0.25">
      <c r="A13" s="16"/>
    </row>
    <row r="14" spans="1:1" x14ac:dyDescent="0.25">
      <c r="A14" s="16"/>
    </row>
    <row r="15" spans="1:1" x14ac:dyDescent="0.25">
      <c r="A15" s="16"/>
    </row>
    <row r="16" spans="1:1" x14ac:dyDescent="0.25">
      <c r="A16" s="16"/>
    </row>
    <row r="17" spans="1:1" x14ac:dyDescent="0.25">
      <c r="A17" s="16"/>
    </row>
    <row r="18" spans="1:1" x14ac:dyDescent="0.25">
      <c r="A18" s="16"/>
    </row>
    <row r="19" spans="1:1" x14ac:dyDescent="0.25">
      <c r="A19" s="16"/>
    </row>
    <row r="20" spans="1:1" x14ac:dyDescent="0.25">
      <c r="A20" s="16"/>
    </row>
    <row r="21" spans="1:1" x14ac:dyDescent="0.25">
      <c r="A21" s="16"/>
    </row>
    <row r="22" spans="1:1" x14ac:dyDescent="0.25">
      <c r="A22" s="16"/>
    </row>
    <row r="23" spans="1:1" x14ac:dyDescent="0.25">
      <c r="A23" s="16"/>
    </row>
    <row r="24" spans="1:1" x14ac:dyDescent="0.25">
      <c r="A24" s="16"/>
    </row>
    <row r="25" spans="1:1" x14ac:dyDescent="0.25">
      <c r="A25" s="16"/>
    </row>
    <row r="26" spans="1:1" x14ac:dyDescent="0.25">
      <c r="A26" s="16"/>
    </row>
    <row r="27" spans="1:1" x14ac:dyDescent="0.25">
      <c r="A27" s="16"/>
    </row>
    <row r="28" spans="1:1" x14ac:dyDescent="0.25">
      <c r="A28" s="16"/>
    </row>
    <row r="29" spans="1:1" x14ac:dyDescent="0.25">
      <c r="A29" s="16"/>
    </row>
    <row r="30" spans="1:1" x14ac:dyDescent="0.25">
      <c r="A30" s="16"/>
    </row>
    <row r="31" spans="1:1" x14ac:dyDescent="0.25">
      <c r="A31" s="16"/>
    </row>
    <row r="32" spans="1:1" x14ac:dyDescent="0.25">
      <c r="A32" s="16"/>
    </row>
    <row r="33" spans="1:1" x14ac:dyDescent="0.25">
      <c r="A33" s="16"/>
    </row>
    <row r="34" spans="1:1" x14ac:dyDescent="0.25">
      <c r="A34" s="16"/>
    </row>
    <row r="35" spans="1:1" x14ac:dyDescent="0.25">
      <c r="A35" s="16"/>
    </row>
    <row r="36" spans="1:1" x14ac:dyDescent="0.25">
      <c r="A36" s="16"/>
    </row>
    <row r="37" spans="1:1" x14ac:dyDescent="0.25">
      <c r="A37" s="16"/>
    </row>
    <row r="38" spans="1:1" x14ac:dyDescent="0.25">
      <c r="A38" s="16"/>
    </row>
    <row r="39" spans="1:1" x14ac:dyDescent="0.25">
      <c r="A39" s="16"/>
    </row>
    <row r="40" spans="1:1" x14ac:dyDescent="0.25">
      <c r="A40" s="16"/>
    </row>
    <row r="41" spans="1:1" x14ac:dyDescent="0.25">
      <c r="A41" s="16"/>
    </row>
    <row r="42" spans="1:1" x14ac:dyDescent="0.25">
      <c r="A42" s="16"/>
    </row>
    <row r="43" spans="1:1" x14ac:dyDescent="0.25">
      <c r="A43" s="16"/>
    </row>
    <row r="44" spans="1:1" x14ac:dyDescent="0.25">
      <c r="A44" s="16"/>
    </row>
    <row r="45" spans="1:1" x14ac:dyDescent="0.25">
      <c r="A45" s="16"/>
    </row>
    <row r="46" spans="1:1" x14ac:dyDescent="0.25">
      <c r="A46" s="16"/>
    </row>
    <row r="47" spans="1:1" x14ac:dyDescent="0.25">
      <c r="A47" s="16"/>
    </row>
    <row r="48" spans="1:1" x14ac:dyDescent="0.25">
      <c r="A48" s="16"/>
    </row>
    <row r="49" spans="1:1" x14ac:dyDescent="0.25">
      <c r="A49" s="16"/>
    </row>
    <row r="50" spans="1:1" x14ac:dyDescent="0.25">
      <c r="A50" s="16"/>
    </row>
    <row r="51" spans="1:1" x14ac:dyDescent="0.25">
      <c r="A51" s="16"/>
    </row>
    <row r="52" spans="1:1" x14ac:dyDescent="0.25">
      <c r="A52" s="16"/>
    </row>
    <row r="53" spans="1:1" x14ac:dyDescent="0.25">
      <c r="A53" s="16"/>
    </row>
    <row r="54" spans="1:1" x14ac:dyDescent="0.25">
      <c r="A54" s="16"/>
    </row>
    <row r="55" spans="1:1" x14ac:dyDescent="0.25">
      <c r="A55" s="16"/>
    </row>
    <row r="56" spans="1:1" x14ac:dyDescent="0.25">
      <c r="A56" s="16"/>
    </row>
    <row r="57" spans="1:1" x14ac:dyDescent="0.25">
      <c r="A57" s="16"/>
    </row>
    <row r="58" spans="1:1" x14ac:dyDescent="0.25">
      <c r="A58" s="16"/>
    </row>
    <row r="59" spans="1:1" x14ac:dyDescent="0.25">
      <c r="A59" s="16"/>
    </row>
    <row r="60" spans="1:1" x14ac:dyDescent="0.25">
      <c r="A60" s="16"/>
    </row>
    <row r="61" spans="1:1" x14ac:dyDescent="0.25">
      <c r="A61" s="16"/>
    </row>
    <row r="62" spans="1:1" x14ac:dyDescent="0.25">
      <c r="A62" s="16"/>
    </row>
    <row r="63" spans="1:1" x14ac:dyDescent="0.25">
      <c r="A63" s="16"/>
    </row>
    <row r="64" spans="1:1" x14ac:dyDescent="0.25">
      <c r="A64" s="16"/>
    </row>
    <row r="65" spans="1:1" x14ac:dyDescent="0.25">
      <c r="A65" s="16"/>
    </row>
    <row r="66" spans="1:1" x14ac:dyDescent="0.25">
      <c r="A66" s="16"/>
    </row>
    <row r="67" spans="1:1" x14ac:dyDescent="0.25">
      <c r="A67" s="16"/>
    </row>
    <row r="68" spans="1:1" x14ac:dyDescent="0.25">
      <c r="A68" s="16"/>
    </row>
    <row r="69" spans="1:1" x14ac:dyDescent="0.25">
      <c r="A69" s="16"/>
    </row>
    <row r="70" spans="1:1" x14ac:dyDescent="0.25">
      <c r="A70" s="16"/>
    </row>
    <row r="71" spans="1:1" x14ac:dyDescent="0.25">
      <c r="A71" s="16"/>
    </row>
    <row r="72" spans="1:1" x14ac:dyDescent="0.25">
      <c r="A72" s="16"/>
    </row>
    <row r="73" spans="1:1" x14ac:dyDescent="0.25">
      <c r="A73" s="16"/>
    </row>
    <row r="74" spans="1:1" x14ac:dyDescent="0.25">
      <c r="A74" s="16"/>
    </row>
    <row r="75" spans="1:1" x14ac:dyDescent="0.25">
      <c r="A75" s="16"/>
    </row>
    <row r="76" spans="1:1" x14ac:dyDescent="0.25">
      <c r="A76" s="16"/>
    </row>
    <row r="77" spans="1:1" x14ac:dyDescent="0.25">
      <c r="A77" s="16"/>
    </row>
    <row r="78" spans="1:1" x14ac:dyDescent="0.25">
      <c r="A78" s="16"/>
    </row>
    <row r="79" spans="1:1" x14ac:dyDescent="0.25">
      <c r="A79" s="16"/>
    </row>
    <row r="80" spans="1:1" x14ac:dyDescent="0.25">
      <c r="A80" s="16"/>
    </row>
    <row r="81" spans="1:1" x14ac:dyDescent="0.25">
      <c r="A81" s="16"/>
    </row>
    <row r="82" spans="1:1" x14ac:dyDescent="0.25">
      <c r="A82" s="16"/>
    </row>
    <row r="83" spans="1:1" x14ac:dyDescent="0.25">
      <c r="A83" s="16"/>
    </row>
    <row r="84" spans="1:1" x14ac:dyDescent="0.25">
      <c r="A84" s="1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8A79D-7A4F-4E9A-8C97-5554BE64DD86}">
  <sheetPr codeName="Sheet2">
    <tabColor theme="0"/>
  </sheetPr>
  <dimension ref="A1:AW85"/>
  <sheetViews>
    <sheetView zoomScaleNormal="100" workbookViewId="0"/>
  </sheetViews>
  <sheetFormatPr defaultRowHeight="15" x14ac:dyDescent="0.25"/>
  <cols>
    <col min="1" max="1" width="11.28515625" bestFit="1" customWidth="1"/>
    <col min="2" max="2" width="19.5703125" bestFit="1" customWidth="1"/>
    <col min="5" max="5" width="11.28515625" bestFit="1" customWidth="1"/>
    <col min="6" max="6" width="19.5703125" bestFit="1" customWidth="1"/>
    <col min="9" max="9" width="11.28515625" bestFit="1" customWidth="1"/>
    <col min="10" max="10" width="22" bestFit="1" customWidth="1"/>
    <col min="13" max="13" width="11.28515625" bestFit="1" customWidth="1"/>
    <col min="14" max="14" width="28.28515625" bestFit="1" customWidth="1"/>
    <col min="16" max="16" width="9.140625" customWidth="1"/>
    <col min="17" max="17" width="11.28515625" bestFit="1" customWidth="1"/>
    <col min="18" max="18" width="33" bestFit="1" customWidth="1"/>
    <col min="21" max="21" width="13.140625" bestFit="1" customWidth="1"/>
    <col min="22" max="22" width="27.42578125" bestFit="1" customWidth="1"/>
    <col min="25" max="25" width="13.5703125" bestFit="1" customWidth="1"/>
    <col min="26" max="26" width="18.140625" bestFit="1" customWidth="1"/>
    <col min="27" max="27" width="20.140625" bestFit="1" customWidth="1"/>
    <col min="28" max="28" width="18.5703125" bestFit="1" customWidth="1"/>
    <col min="29" max="29" width="7" bestFit="1" customWidth="1"/>
    <col min="30" max="30" width="7.5703125" bestFit="1" customWidth="1"/>
    <col min="31" max="31" width="8.140625" bestFit="1" customWidth="1"/>
    <col min="32" max="32" width="8.28515625" bestFit="1" customWidth="1"/>
    <col min="33" max="33" width="7.7109375" bestFit="1" customWidth="1"/>
    <col min="34" max="34" width="7.28515625" bestFit="1" customWidth="1"/>
    <col min="35" max="35" width="11.28515625" bestFit="1" customWidth="1"/>
    <col min="36" max="36" width="23" bestFit="1" customWidth="1"/>
    <col min="52" max="52" width="38.85546875" bestFit="1" customWidth="1"/>
    <col min="53" max="53" width="65.42578125" bestFit="1" customWidth="1"/>
    <col min="54" max="54" width="23" bestFit="1" customWidth="1"/>
  </cols>
  <sheetData>
    <row r="1" spans="1:49" x14ac:dyDescent="0.25">
      <c r="AC1" t="str">
        <f t="shared" ref="AC1:AW1" si="0">IFERROR(IF(AC2="","",IF(MATCH(AC2&amp;AC3,$AC$38:$AC$157,0),TRUE)),FALSE)</f>
        <v/>
      </c>
      <c r="AD1" t="str">
        <f t="shared" si="0"/>
        <v/>
      </c>
      <c r="AE1" t="str">
        <f t="shared" si="0"/>
        <v/>
      </c>
      <c r="AF1" t="str">
        <f t="shared" si="0"/>
        <v/>
      </c>
      <c r="AG1" t="str">
        <f t="shared" si="0"/>
        <v/>
      </c>
      <c r="AH1" t="str">
        <f t="shared" si="0"/>
        <v/>
      </c>
      <c r="AI1" t="str">
        <f t="shared" si="0"/>
        <v/>
      </c>
      <c r="AJ1" t="str">
        <f t="shared" si="0"/>
        <v/>
      </c>
      <c r="AK1" t="str">
        <f t="shared" si="0"/>
        <v/>
      </c>
      <c r="AL1" t="str">
        <f t="shared" si="0"/>
        <v/>
      </c>
      <c r="AM1" t="str">
        <f t="shared" si="0"/>
        <v/>
      </c>
      <c r="AN1" t="str">
        <f t="shared" si="0"/>
        <v/>
      </c>
      <c r="AO1" t="str">
        <f t="shared" si="0"/>
        <v/>
      </c>
      <c r="AP1" t="str">
        <f t="shared" si="0"/>
        <v/>
      </c>
      <c r="AQ1" t="str">
        <f t="shared" si="0"/>
        <v/>
      </c>
      <c r="AR1" t="str">
        <f t="shared" si="0"/>
        <v/>
      </c>
      <c r="AS1" t="str">
        <f t="shared" si="0"/>
        <v/>
      </c>
      <c r="AT1" t="str">
        <f t="shared" si="0"/>
        <v/>
      </c>
      <c r="AU1" t="str">
        <f t="shared" si="0"/>
        <v/>
      </c>
      <c r="AV1" t="str">
        <f t="shared" si="0"/>
        <v/>
      </c>
      <c r="AW1" t="str">
        <f t="shared" si="0"/>
        <v/>
      </c>
    </row>
    <row r="3" spans="1:49" x14ac:dyDescent="0.25">
      <c r="A3" s="11" t="s">
        <v>9</v>
      </c>
      <c r="B3" t="s">
        <v>67</v>
      </c>
    </row>
    <row r="4" spans="1:49" x14ac:dyDescent="0.25">
      <c r="A4" s="12">
        <v>2021</v>
      </c>
      <c r="B4" s="13">
        <v>276.64999999999998</v>
      </c>
    </row>
    <row r="5" spans="1:49" x14ac:dyDescent="0.25">
      <c r="A5" s="12">
        <v>2022</v>
      </c>
      <c r="B5" s="13">
        <v>180.09</v>
      </c>
    </row>
    <row r="6" spans="1:49" x14ac:dyDescent="0.25">
      <c r="A6" s="12">
        <v>2023</v>
      </c>
      <c r="B6" s="13">
        <v>74.099999999999994</v>
      </c>
    </row>
    <row r="7" spans="1:49" x14ac:dyDescent="0.25">
      <c r="A7" s="12">
        <v>2024</v>
      </c>
      <c r="B7" s="13">
        <v>42.5</v>
      </c>
    </row>
    <row r="8" spans="1:49" x14ac:dyDescent="0.25">
      <c r="A8" s="12" t="s">
        <v>47</v>
      </c>
      <c r="B8" s="13">
        <v>573.34</v>
      </c>
    </row>
    <row r="15" spans="1:49" x14ac:dyDescent="0.25">
      <c r="A15" s="11" t="s">
        <v>9</v>
      </c>
      <c r="B15" t="s">
        <v>52</v>
      </c>
    </row>
    <row r="16" spans="1:49" x14ac:dyDescent="0.25">
      <c r="A16" s="12">
        <v>2021</v>
      </c>
      <c r="B16" s="14">
        <v>0.76250000000000007</v>
      </c>
    </row>
    <row r="17" spans="1:2" x14ac:dyDescent="0.25">
      <c r="A17" s="12">
        <v>2022</v>
      </c>
      <c r="B17" s="14">
        <v>0.68</v>
      </c>
    </row>
    <row r="18" spans="1:2" x14ac:dyDescent="0.25">
      <c r="A18" s="12">
        <v>2023</v>
      </c>
      <c r="B18" s="14">
        <v>0.59</v>
      </c>
    </row>
    <row r="19" spans="1:2" x14ac:dyDescent="0.25">
      <c r="A19" s="12">
        <v>2024</v>
      </c>
      <c r="B19" s="14">
        <v>0.48</v>
      </c>
    </row>
    <row r="20" spans="1:2" x14ac:dyDescent="0.25">
      <c r="A20" s="12" t="s">
        <v>47</v>
      </c>
      <c r="B20" s="14">
        <v>0.67500000000000004</v>
      </c>
    </row>
    <row r="27" spans="1:2" x14ac:dyDescent="0.25">
      <c r="A27" s="11" t="s">
        <v>9</v>
      </c>
      <c r="B27" t="s">
        <v>63</v>
      </c>
    </row>
    <row r="28" spans="1:2" x14ac:dyDescent="0.25">
      <c r="A28" s="12">
        <v>2021</v>
      </c>
      <c r="B28" s="13">
        <v>1.6499999999999997E-2</v>
      </c>
    </row>
    <row r="29" spans="1:2" x14ac:dyDescent="0.25">
      <c r="A29" s="12">
        <v>2022</v>
      </c>
      <c r="B29" s="13">
        <v>1.2499999999999999E-2</v>
      </c>
    </row>
    <row r="30" spans="1:2" x14ac:dyDescent="0.25">
      <c r="A30" s="12">
        <v>2023</v>
      </c>
      <c r="B30" s="13">
        <v>0</v>
      </c>
    </row>
    <row r="31" spans="1:2" x14ac:dyDescent="0.25">
      <c r="A31" s="12">
        <v>2024</v>
      </c>
      <c r="B31" s="13">
        <v>0</v>
      </c>
    </row>
    <row r="32" spans="1:2" x14ac:dyDescent="0.25">
      <c r="A32" s="12" t="s">
        <v>47</v>
      </c>
      <c r="B32" s="13">
        <v>1.2631578947368421E-2</v>
      </c>
    </row>
    <row r="38" spans="1:29" x14ac:dyDescent="0.25">
      <c r="AC38" t="str">
        <f t="shared" ref="AC38:AC41" si="1">A115&amp;B115</f>
        <v/>
      </c>
    </row>
    <row r="39" spans="1:29" x14ac:dyDescent="0.25">
      <c r="A39" s="11" t="s">
        <v>9</v>
      </c>
      <c r="B39" t="s">
        <v>48</v>
      </c>
      <c r="AC39" t="str">
        <f t="shared" si="1"/>
        <v/>
      </c>
    </row>
    <row r="40" spans="1:29" x14ac:dyDescent="0.25">
      <c r="A40" s="12">
        <v>2021</v>
      </c>
      <c r="B40" s="13">
        <v>14.094000000000001</v>
      </c>
      <c r="AC40" t="str">
        <f t="shared" si="1"/>
        <v/>
      </c>
    </row>
    <row r="41" spans="1:29" x14ac:dyDescent="0.25">
      <c r="A41" s="12">
        <v>2022</v>
      </c>
      <c r="B41" s="13">
        <v>14.194000000000001</v>
      </c>
      <c r="AC41" t="str">
        <f t="shared" si="1"/>
        <v/>
      </c>
    </row>
    <row r="42" spans="1:29" x14ac:dyDescent="0.25">
      <c r="A42" s="12">
        <v>2023</v>
      </c>
      <c r="B42" s="13">
        <v>8.42</v>
      </c>
      <c r="AC42" t="str">
        <f>AA42&amp;AB42</f>
        <v/>
      </c>
    </row>
    <row r="43" spans="1:29" x14ac:dyDescent="0.25">
      <c r="A43" s="12">
        <v>2024</v>
      </c>
      <c r="B43" s="13">
        <v>2.1</v>
      </c>
    </row>
    <row r="44" spans="1:29" x14ac:dyDescent="0.25">
      <c r="A44" s="12" t="s">
        <v>47</v>
      </c>
      <c r="B44" s="13">
        <v>38.808000000000007</v>
      </c>
    </row>
    <row r="51" spans="1:2" x14ac:dyDescent="0.25">
      <c r="A51" s="11" t="s">
        <v>9</v>
      </c>
      <c r="B51" t="s">
        <v>49</v>
      </c>
    </row>
    <row r="52" spans="1:2" x14ac:dyDescent="0.25">
      <c r="A52" s="12">
        <v>2021</v>
      </c>
      <c r="B52" s="13">
        <v>183.82</v>
      </c>
    </row>
    <row r="53" spans="1:2" x14ac:dyDescent="0.25">
      <c r="A53" s="12">
        <v>2022</v>
      </c>
      <c r="B53" s="13">
        <v>188.96</v>
      </c>
    </row>
    <row r="54" spans="1:2" x14ac:dyDescent="0.25">
      <c r="A54" s="12">
        <v>2023</v>
      </c>
      <c r="B54" s="13">
        <v>98.58</v>
      </c>
    </row>
    <row r="55" spans="1:2" x14ac:dyDescent="0.25">
      <c r="A55" s="12">
        <v>2024</v>
      </c>
      <c r="B55" s="13">
        <v>25.65</v>
      </c>
    </row>
    <row r="56" spans="1:2" x14ac:dyDescent="0.25">
      <c r="A56" s="12" t="s">
        <v>47</v>
      </c>
      <c r="B56" s="13">
        <v>497.00999999999993</v>
      </c>
    </row>
    <row r="63" spans="1:2" x14ac:dyDescent="0.25">
      <c r="A63" s="11" t="s">
        <v>46</v>
      </c>
      <c r="B63" t="s">
        <v>64</v>
      </c>
    </row>
    <row r="64" spans="1:2" x14ac:dyDescent="0.25">
      <c r="A64" s="12" t="s">
        <v>15</v>
      </c>
      <c r="B64" s="13">
        <v>0.47981111111111108</v>
      </c>
    </row>
    <row r="65" spans="1:2" x14ac:dyDescent="0.25">
      <c r="A65" s="12" t="s">
        <v>16</v>
      </c>
      <c r="B65" s="13">
        <v>0.14966250000000003</v>
      </c>
    </row>
    <row r="66" spans="1:2" x14ac:dyDescent="0.25">
      <c r="A66" s="12" t="s">
        <v>17</v>
      </c>
      <c r="B66" s="13">
        <v>0.36736363636363634</v>
      </c>
    </row>
    <row r="67" spans="1:2" x14ac:dyDescent="0.25">
      <c r="A67" s="12" t="s">
        <v>55</v>
      </c>
      <c r="B67" s="13">
        <v>0.48</v>
      </c>
    </row>
    <row r="68" spans="1:2" x14ac:dyDescent="0.25">
      <c r="A68" s="12" t="s">
        <v>56</v>
      </c>
      <c r="B68" s="13">
        <v>0.12</v>
      </c>
    </row>
    <row r="69" spans="1:2" x14ac:dyDescent="0.25">
      <c r="A69" s="12" t="s">
        <v>57</v>
      </c>
      <c r="B69" s="13">
        <v>0.13</v>
      </c>
    </row>
    <row r="70" spans="1:2" x14ac:dyDescent="0.25">
      <c r="A70" s="12" t="s">
        <v>58</v>
      </c>
      <c r="B70" s="13">
        <v>0.27</v>
      </c>
    </row>
    <row r="71" spans="1:2" x14ac:dyDescent="0.25">
      <c r="A71" s="12" t="s">
        <v>47</v>
      </c>
      <c r="B71" s="13">
        <v>0.32989374999999993</v>
      </c>
    </row>
    <row r="78" spans="1:2" x14ac:dyDescent="0.25">
      <c r="A78" s="11" t="s">
        <v>50</v>
      </c>
      <c r="B78" t="s">
        <v>51</v>
      </c>
    </row>
    <row r="79" spans="1:2" x14ac:dyDescent="0.25">
      <c r="A79" s="12" t="s">
        <v>32</v>
      </c>
      <c r="B79" s="13">
        <v>744471</v>
      </c>
    </row>
    <row r="80" spans="1:2" x14ac:dyDescent="0.25">
      <c r="A80" s="12" t="s">
        <v>31</v>
      </c>
      <c r="B80" s="13">
        <v>423774</v>
      </c>
    </row>
    <row r="81" spans="1:2" x14ac:dyDescent="0.25">
      <c r="A81" s="12" t="s">
        <v>35</v>
      </c>
      <c r="B81" s="13">
        <v>1604096</v>
      </c>
    </row>
    <row r="82" spans="1:2" x14ac:dyDescent="0.25">
      <c r="A82" s="12" t="s">
        <v>30</v>
      </c>
      <c r="B82" s="13">
        <v>676896</v>
      </c>
    </row>
    <row r="83" spans="1:2" x14ac:dyDescent="0.25">
      <c r="A83" s="12" t="s">
        <v>34</v>
      </c>
      <c r="B83" s="13">
        <v>823830</v>
      </c>
    </row>
    <row r="84" spans="1:2" x14ac:dyDescent="0.25">
      <c r="A84" s="12" t="s">
        <v>33</v>
      </c>
      <c r="B84" s="13">
        <v>1087531</v>
      </c>
    </row>
    <row r="85" spans="1:2" x14ac:dyDescent="0.25">
      <c r="A85" s="12" t="s">
        <v>47</v>
      </c>
      <c r="B85" s="13">
        <v>5360598</v>
      </c>
    </row>
  </sheetData>
  <conditionalFormatting sqref="A3:B3 A4:A8">
    <cfRule type="cellIs" dxfId="15" priority="1" operator="equal">
      <formula>"(blank)"</formula>
    </cfRule>
  </conditionalFormatting>
  <pageMargins left="0.7" right="0.7" top="0.75" bottom="0.75" header="0.3" footer="0.3"/>
  <pageSetup orientation="portrait" r:id="rId8"/>
  <drawing r:id="rId9"/>
  <extLst>
    <ext xmlns:x14="http://schemas.microsoft.com/office/spreadsheetml/2009/9/main" uri="{A8765BA9-456A-4dab-B4F3-ACF838C121DE}">
      <x14:slicerList>
        <x14:slicer r:id="rId10"/>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999F6-C730-41C0-8E09-FCBDE06E3FD5}">
  <sheetPr codeName="Sheet3">
    <tabColor theme="0"/>
  </sheetPr>
  <dimension ref="A1:O79"/>
  <sheetViews>
    <sheetView zoomScale="85" zoomScaleNormal="85" workbookViewId="0">
      <pane xSplit="3" ySplit="1" topLeftCell="D2" activePane="bottomRight" state="frozen"/>
      <selection pane="topRight" activeCell="C1" sqref="C1"/>
      <selection pane="bottomLeft" activeCell="A2" sqref="A2"/>
      <selection pane="bottomRight" activeCell="D2" sqref="D2"/>
    </sheetView>
  </sheetViews>
  <sheetFormatPr defaultRowHeight="15" x14ac:dyDescent="0.25"/>
  <cols>
    <col min="1" max="1" width="34" bestFit="1" customWidth="1"/>
    <col min="2" max="2" width="22.7109375" customWidth="1"/>
    <col min="3" max="3" width="57.28515625" bestFit="1" customWidth="1"/>
    <col min="4" max="4" width="9" customWidth="1"/>
    <col min="5" max="5" width="14.140625" customWidth="1"/>
    <col min="6" max="6" width="9.42578125" customWidth="1"/>
    <col min="7" max="7" width="11.5703125" customWidth="1"/>
    <col min="8" max="8" width="15.7109375" customWidth="1"/>
    <col min="9" max="9" width="26.5703125" customWidth="1"/>
    <col min="10" max="10" width="28.28515625" bestFit="1" customWidth="1"/>
    <col min="11" max="11" width="20" customWidth="1"/>
    <col min="12" max="12" width="23.28515625" customWidth="1"/>
    <col min="13" max="13" width="18.7109375" customWidth="1"/>
    <col min="14" max="14" width="20.140625" customWidth="1"/>
  </cols>
  <sheetData>
    <row r="1" spans="1:15" x14ac:dyDescent="0.25">
      <c r="A1" t="s">
        <v>65</v>
      </c>
      <c r="B1" t="s">
        <v>44</v>
      </c>
      <c r="C1" t="s">
        <v>0</v>
      </c>
      <c r="D1" t="s">
        <v>9</v>
      </c>
      <c r="E1" t="s">
        <v>1</v>
      </c>
      <c r="F1" t="s">
        <v>2</v>
      </c>
      <c r="G1" t="s">
        <v>3</v>
      </c>
      <c r="H1" t="s">
        <v>4</v>
      </c>
      <c r="I1" t="s">
        <v>5</v>
      </c>
      <c r="J1" t="s">
        <v>6</v>
      </c>
      <c r="K1" t="s">
        <v>7</v>
      </c>
      <c r="L1" t="s">
        <v>8</v>
      </c>
      <c r="M1" t="s">
        <v>10</v>
      </c>
      <c r="N1" t="s">
        <v>11</v>
      </c>
      <c r="O1" t="s">
        <v>68</v>
      </c>
    </row>
    <row r="2" spans="1:15" ht="15.75" thickBot="1" x14ac:dyDescent="0.3">
      <c r="A2" t="s">
        <v>12</v>
      </c>
      <c r="B2" t="s">
        <v>40</v>
      </c>
      <c r="C2" s="2" t="s">
        <v>22</v>
      </c>
      <c r="D2">
        <v>2021</v>
      </c>
      <c r="E2">
        <v>35.950000000000003</v>
      </c>
      <c r="G2" s="4">
        <v>0.76</v>
      </c>
      <c r="H2" s="6">
        <v>2.2499999999999999E-2</v>
      </c>
      <c r="O2" s="17" t="b">
        <f>ISNUMBER(MixedFruit[[#This Row],[Year]])</f>
        <v>1</v>
      </c>
    </row>
    <row r="3" spans="1:15" ht="15.75" thickBot="1" x14ac:dyDescent="0.3">
      <c r="A3" t="s">
        <v>12</v>
      </c>
      <c r="B3" t="s">
        <v>40</v>
      </c>
      <c r="C3" s="2" t="s">
        <v>22</v>
      </c>
      <c r="D3">
        <v>2022</v>
      </c>
      <c r="E3">
        <v>33.18</v>
      </c>
      <c r="G3" s="4">
        <v>0.68</v>
      </c>
      <c r="H3" s="6">
        <v>0</v>
      </c>
      <c r="O3" s="1" t="b">
        <f>ISNUMBER(MixedFruit[[#This Row],[Year]])</f>
        <v>1</v>
      </c>
    </row>
    <row r="4" spans="1:15" ht="15.75" thickBot="1" x14ac:dyDescent="0.3">
      <c r="A4" t="s">
        <v>12</v>
      </c>
      <c r="B4" t="s">
        <v>40</v>
      </c>
      <c r="C4" s="2" t="s">
        <v>22</v>
      </c>
      <c r="D4">
        <v>2023</v>
      </c>
      <c r="E4">
        <v>28</v>
      </c>
      <c r="G4" s="4">
        <v>0.59</v>
      </c>
      <c r="H4" s="6">
        <v>0</v>
      </c>
      <c r="O4" s="1" t="b">
        <f>ISNUMBER(MixedFruit[[#This Row],[Year]])</f>
        <v>1</v>
      </c>
    </row>
    <row r="5" spans="1:15" ht="30.75" thickBot="1" x14ac:dyDescent="0.3">
      <c r="A5" s="2" t="s">
        <v>13</v>
      </c>
      <c r="B5" t="s">
        <v>41</v>
      </c>
      <c r="C5" t="s">
        <v>14</v>
      </c>
      <c r="D5">
        <v>2021</v>
      </c>
      <c r="I5">
        <v>1.97</v>
      </c>
      <c r="J5">
        <v>25.9</v>
      </c>
      <c r="O5" s="1" t="b">
        <f>ISNUMBER(MixedFruit[[#This Row],[Year]])</f>
        <v>1</v>
      </c>
    </row>
    <row r="6" spans="1:15" ht="30.75" thickBot="1" x14ac:dyDescent="0.3">
      <c r="A6" s="2" t="s">
        <v>13</v>
      </c>
      <c r="B6" t="s">
        <v>41</v>
      </c>
      <c r="C6" t="s">
        <v>14</v>
      </c>
      <c r="D6">
        <v>2022</v>
      </c>
      <c r="I6">
        <v>1.97</v>
      </c>
      <c r="J6">
        <v>27.05</v>
      </c>
      <c r="O6" s="1" t="b">
        <f>ISNUMBER(MixedFruit[[#This Row],[Year]])</f>
        <v>1</v>
      </c>
    </row>
    <row r="7" spans="1:15" ht="30.75" thickBot="1" x14ac:dyDescent="0.3">
      <c r="A7" s="2" t="s">
        <v>13</v>
      </c>
      <c r="B7" t="s">
        <v>41</v>
      </c>
      <c r="C7" t="s">
        <v>14</v>
      </c>
      <c r="D7">
        <v>2023</v>
      </c>
      <c r="I7">
        <v>2.02</v>
      </c>
      <c r="J7">
        <v>25.2</v>
      </c>
      <c r="O7" s="1" t="b">
        <f>ISNUMBER(MixedFruit[[#This Row],[Year]])</f>
        <v>1</v>
      </c>
    </row>
    <row r="8" spans="1:15" ht="30.75" thickBot="1" x14ac:dyDescent="0.3">
      <c r="A8" s="2" t="s">
        <v>13</v>
      </c>
      <c r="B8" t="s">
        <v>41</v>
      </c>
      <c r="C8" t="s">
        <v>14</v>
      </c>
      <c r="K8" t="s">
        <v>15</v>
      </c>
      <c r="L8" s="4">
        <v>0.53</v>
      </c>
      <c r="O8" s="1" t="b">
        <f>ISNUMBER(MixedFruit[[#This Row],[Year]])</f>
        <v>0</v>
      </c>
    </row>
    <row r="9" spans="1:15" ht="30.75" thickBot="1" x14ac:dyDescent="0.3">
      <c r="A9" s="2" t="s">
        <v>13</v>
      </c>
      <c r="B9" t="s">
        <v>41</v>
      </c>
      <c r="C9" t="s">
        <v>14</v>
      </c>
      <c r="K9" t="s">
        <v>16</v>
      </c>
      <c r="L9" s="4">
        <v>0.13</v>
      </c>
      <c r="O9" s="1" t="b">
        <f>ISNUMBER(MixedFruit[[#This Row],[Year]])</f>
        <v>0</v>
      </c>
    </row>
    <row r="10" spans="1:15" ht="30.75" thickBot="1" x14ac:dyDescent="0.3">
      <c r="A10" s="2" t="s">
        <v>13</v>
      </c>
      <c r="B10" t="s">
        <v>41</v>
      </c>
      <c r="C10" t="s">
        <v>14</v>
      </c>
      <c r="K10" t="s">
        <v>17</v>
      </c>
      <c r="L10" s="4">
        <v>0.33</v>
      </c>
      <c r="O10" s="1" t="b">
        <f>ISNUMBER(MixedFruit[[#This Row],[Year]])</f>
        <v>0</v>
      </c>
    </row>
    <row r="11" spans="1:15" ht="30.75" thickBot="1" x14ac:dyDescent="0.3">
      <c r="A11" s="2" t="s">
        <v>18</v>
      </c>
      <c r="B11" t="s">
        <v>42</v>
      </c>
      <c r="C11" t="s">
        <v>14</v>
      </c>
      <c r="D11">
        <v>2021</v>
      </c>
      <c r="I11">
        <v>1.94</v>
      </c>
      <c r="J11">
        <v>21.7</v>
      </c>
      <c r="O11" s="1" t="b">
        <f>ISNUMBER(MixedFruit[[#This Row],[Year]])</f>
        <v>1</v>
      </c>
    </row>
    <row r="12" spans="1:15" ht="30.75" thickBot="1" x14ac:dyDescent="0.3">
      <c r="A12" s="2" t="s">
        <v>18</v>
      </c>
      <c r="B12" t="s">
        <v>42</v>
      </c>
      <c r="C12" t="s">
        <v>14</v>
      </c>
      <c r="D12">
        <v>2022</v>
      </c>
      <c r="I12">
        <v>1.99</v>
      </c>
      <c r="J12">
        <v>23.58</v>
      </c>
      <c r="O12" s="1" t="b">
        <f>ISNUMBER(MixedFruit[[#This Row],[Year]])</f>
        <v>1</v>
      </c>
    </row>
    <row r="13" spans="1:15" ht="30.75" thickBot="1" x14ac:dyDescent="0.3">
      <c r="A13" s="2" t="s">
        <v>18</v>
      </c>
      <c r="B13" t="s">
        <v>42</v>
      </c>
      <c r="C13" t="s">
        <v>14</v>
      </c>
      <c r="D13">
        <v>2023</v>
      </c>
      <c r="I13">
        <v>1.69</v>
      </c>
      <c r="J13">
        <v>15.05</v>
      </c>
      <c r="O13" s="1" t="b">
        <f>ISNUMBER(MixedFruit[[#This Row],[Year]])</f>
        <v>1</v>
      </c>
    </row>
    <row r="14" spans="1:15" ht="30.75" thickBot="1" x14ac:dyDescent="0.3">
      <c r="A14" s="2" t="s">
        <v>18</v>
      </c>
      <c r="B14" t="s">
        <v>42</v>
      </c>
      <c r="C14" t="s">
        <v>14</v>
      </c>
      <c r="K14" t="s">
        <v>15</v>
      </c>
      <c r="L14" s="6">
        <v>0.83299999999999996</v>
      </c>
      <c r="O14" s="1" t="b">
        <f>ISNUMBER(MixedFruit[[#This Row],[Year]])</f>
        <v>0</v>
      </c>
    </row>
    <row r="15" spans="1:15" ht="30.75" thickBot="1" x14ac:dyDescent="0.3">
      <c r="A15" s="2" t="s">
        <v>18</v>
      </c>
      <c r="B15" t="s">
        <v>42</v>
      </c>
      <c r="C15" t="s">
        <v>14</v>
      </c>
      <c r="K15" t="s">
        <v>17</v>
      </c>
      <c r="L15" s="6">
        <v>0.16700000000000001</v>
      </c>
      <c r="O15" s="1" t="b">
        <f>ISNUMBER(MixedFruit[[#This Row],[Year]])</f>
        <v>0</v>
      </c>
    </row>
    <row r="16" spans="1:15" ht="30.75" thickBot="1" x14ac:dyDescent="0.3">
      <c r="A16" s="2" t="s">
        <v>19</v>
      </c>
      <c r="B16" t="s">
        <v>43</v>
      </c>
      <c r="C16" t="s">
        <v>20</v>
      </c>
      <c r="D16">
        <v>2021</v>
      </c>
      <c r="I16">
        <v>0.95</v>
      </c>
      <c r="J16">
        <v>16.61</v>
      </c>
      <c r="O16" s="1" t="b">
        <f>ISNUMBER(MixedFruit[[#This Row],[Year]])</f>
        <v>1</v>
      </c>
    </row>
    <row r="17" spans="1:15" ht="30.75" thickBot="1" x14ac:dyDescent="0.3">
      <c r="A17" s="2" t="s">
        <v>19</v>
      </c>
      <c r="B17" t="s">
        <v>43</v>
      </c>
      <c r="C17" t="s">
        <v>20</v>
      </c>
      <c r="D17">
        <v>2022</v>
      </c>
      <c r="I17">
        <v>0.95</v>
      </c>
      <c r="J17">
        <v>14.46</v>
      </c>
      <c r="O17" s="1" t="b">
        <f>ISNUMBER(MixedFruit[[#This Row],[Year]])</f>
        <v>1</v>
      </c>
    </row>
    <row r="18" spans="1:15" ht="30.75" thickBot="1" x14ac:dyDescent="0.3">
      <c r="A18" s="2" t="s">
        <v>19</v>
      </c>
      <c r="B18" t="s">
        <v>43</v>
      </c>
      <c r="C18" t="s">
        <v>20</v>
      </c>
      <c r="D18">
        <v>2023</v>
      </c>
      <c r="I18">
        <v>0.95</v>
      </c>
      <c r="J18">
        <v>18.079999999999998</v>
      </c>
      <c r="O18" s="1" t="b">
        <f>ISNUMBER(MixedFruit[[#This Row],[Year]])</f>
        <v>1</v>
      </c>
    </row>
    <row r="19" spans="1:15" ht="30.75" thickBot="1" x14ac:dyDescent="0.3">
      <c r="A19" s="2" t="s">
        <v>19</v>
      </c>
      <c r="B19" t="s">
        <v>43</v>
      </c>
      <c r="C19" t="s">
        <v>20</v>
      </c>
      <c r="K19" t="s">
        <v>17</v>
      </c>
      <c r="L19" s="4">
        <v>1</v>
      </c>
      <c r="O19" s="1" t="b">
        <f>ISNUMBER(MixedFruit[[#This Row],[Year]])</f>
        <v>0</v>
      </c>
    </row>
    <row r="20" spans="1:15" ht="15.75" thickBot="1" x14ac:dyDescent="0.3">
      <c r="A20" t="s">
        <v>21</v>
      </c>
      <c r="B20" t="s">
        <v>40</v>
      </c>
      <c r="C20" t="s">
        <v>22</v>
      </c>
      <c r="D20">
        <v>2021</v>
      </c>
      <c r="E20">
        <v>35.950000000000003</v>
      </c>
      <c r="G20" s="4">
        <v>0.76</v>
      </c>
      <c r="H20" s="6">
        <v>2.2499999999999999E-2</v>
      </c>
      <c r="O20" s="1" t="b">
        <f>ISNUMBER(MixedFruit[[#This Row],[Year]])</f>
        <v>1</v>
      </c>
    </row>
    <row r="21" spans="1:15" ht="15.75" thickBot="1" x14ac:dyDescent="0.3">
      <c r="A21" t="s">
        <v>21</v>
      </c>
      <c r="B21" t="s">
        <v>40</v>
      </c>
      <c r="C21" t="s">
        <v>22</v>
      </c>
      <c r="D21">
        <v>2022</v>
      </c>
      <c r="E21">
        <v>33.18</v>
      </c>
      <c r="G21" s="4">
        <v>0.68</v>
      </c>
      <c r="H21" s="6">
        <v>0</v>
      </c>
      <c r="O21" s="1" t="b">
        <f>ISNUMBER(MixedFruit[[#This Row],[Year]])</f>
        <v>1</v>
      </c>
    </row>
    <row r="22" spans="1:15" ht="15.75" thickBot="1" x14ac:dyDescent="0.3">
      <c r="A22" t="s">
        <v>21</v>
      </c>
      <c r="B22" t="s">
        <v>40</v>
      </c>
      <c r="C22" t="s">
        <v>22</v>
      </c>
      <c r="K22" t="s">
        <v>15</v>
      </c>
      <c r="L22" s="10">
        <v>0</v>
      </c>
      <c r="O22" s="1" t="b">
        <f>ISNUMBER(MixedFruit[[#This Row],[Year]])</f>
        <v>0</v>
      </c>
    </row>
    <row r="23" spans="1:15" ht="15.75" thickBot="1" x14ac:dyDescent="0.3">
      <c r="A23" t="s">
        <v>21</v>
      </c>
      <c r="B23" t="s">
        <v>40</v>
      </c>
      <c r="C23" t="s">
        <v>22</v>
      </c>
      <c r="K23" t="s">
        <v>16</v>
      </c>
      <c r="L23">
        <v>0.33</v>
      </c>
      <c r="O23" s="1" t="b">
        <f>ISNUMBER(MixedFruit[[#This Row],[Year]])</f>
        <v>0</v>
      </c>
    </row>
    <row r="24" spans="1:15" ht="15.75" thickBot="1" x14ac:dyDescent="0.3">
      <c r="A24" t="s">
        <v>21</v>
      </c>
      <c r="B24" t="s">
        <v>40</v>
      </c>
      <c r="C24" t="s">
        <v>22</v>
      </c>
      <c r="K24" t="s">
        <v>23</v>
      </c>
      <c r="L24">
        <v>0.33</v>
      </c>
      <c r="O24" s="1" t="b">
        <f>ISNUMBER(MixedFruit[[#This Row],[Year]])</f>
        <v>0</v>
      </c>
    </row>
    <row r="25" spans="1:15" ht="15.75" thickBot="1" x14ac:dyDescent="0.3">
      <c r="A25" t="s">
        <v>24</v>
      </c>
      <c r="B25" t="s">
        <v>62</v>
      </c>
      <c r="C25" t="s">
        <v>14</v>
      </c>
      <c r="D25">
        <v>2021</v>
      </c>
      <c r="H25" s="4">
        <v>0</v>
      </c>
      <c r="I25">
        <v>0.50800000000000001</v>
      </c>
      <c r="J25">
        <v>6.65</v>
      </c>
      <c r="O25" s="1" t="b">
        <f>ISNUMBER(MixedFruit[[#This Row],[Year]])</f>
        <v>1</v>
      </c>
    </row>
    <row r="26" spans="1:15" ht="15.75" thickBot="1" x14ac:dyDescent="0.3">
      <c r="A26" t="s">
        <v>24</v>
      </c>
      <c r="B26" t="s">
        <v>62</v>
      </c>
      <c r="C26" t="s">
        <v>14</v>
      </c>
      <c r="D26">
        <v>2022</v>
      </c>
      <c r="H26" s="10">
        <v>0</v>
      </c>
      <c r="I26">
        <v>0.50800000000000001</v>
      </c>
      <c r="J26">
        <v>8.4499999999999993</v>
      </c>
      <c r="O26" s="1" t="b">
        <f>ISNUMBER(MixedFruit[[#This Row],[Year]])</f>
        <v>1</v>
      </c>
    </row>
    <row r="27" spans="1:15" ht="15.75" thickBot="1" x14ac:dyDescent="0.3">
      <c r="A27" t="s">
        <v>24</v>
      </c>
      <c r="B27" t="s">
        <v>62</v>
      </c>
      <c r="C27" t="s">
        <v>14</v>
      </c>
      <c r="K27" t="s">
        <v>15</v>
      </c>
      <c r="L27" s="6">
        <v>0</v>
      </c>
      <c r="O27" s="1" t="b">
        <f>ISNUMBER(MixedFruit[[#This Row],[Year]])</f>
        <v>0</v>
      </c>
    </row>
    <row r="28" spans="1:15" ht="15.75" thickBot="1" x14ac:dyDescent="0.3">
      <c r="A28" t="s">
        <v>24</v>
      </c>
      <c r="B28" t="s">
        <v>62</v>
      </c>
      <c r="C28" t="s">
        <v>14</v>
      </c>
      <c r="K28" t="s">
        <v>16</v>
      </c>
      <c r="L28" s="6">
        <v>3.3E-3</v>
      </c>
      <c r="O28" s="1" t="b">
        <f>ISNUMBER(MixedFruit[[#This Row],[Year]])</f>
        <v>0</v>
      </c>
    </row>
    <row r="29" spans="1:15" ht="15.75" thickBot="1" x14ac:dyDescent="0.3">
      <c r="A29" t="s">
        <v>24</v>
      </c>
      <c r="B29" t="s">
        <v>62</v>
      </c>
      <c r="C29" t="s">
        <v>14</v>
      </c>
      <c r="K29" t="s">
        <v>23</v>
      </c>
      <c r="L29" s="6">
        <v>3.3E-3</v>
      </c>
      <c r="O29" s="1" t="b">
        <f>ISNUMBER(MixedFruit[[#This Row],[Year]])</f>
        <v>0</v>
      </c>
    </row>
    <row r="30" spans="1:15" ht="15.75" thickBot="1" x14ac:dyDescent="0.3">
      <c r="A30" t="s">
        <v>25</v>
      </c>
      <c r="B30" t="s">
        <v>42</v>
      </c>
      <c r="C30" t="s">
        <v>14</v>
      </c>
      <c r="D30">
        <v>2021</v>
      </c>
      <c r="H30" s="4">
        <v>0</v>
      </c>
      <c r="I30">
        <v>1.9359999999999999</v>
      </c>
      <c r="J30">
        <v>21.7</v>
      </c>
      <c r="O30" s="1" t="b">
        <f>ISNUMBER(MixedFruit[[#This Row],[Year]])</f>
        <v>1</v>
      </c>
    </row>
    <row r="31" spans="1:15" ht="15.75" thickBot="1" x14ac:dyDescent="0.3">
      <c r="A31" t="s">
        <v>25</v>
      </c>
      <c r="B31" t="s">
        <v>42</v>
      </c>
      <c r="C31" t="s">
        <v>14</v>
      </c>
      <c r="D31">
        <v>2022</v>
      </c>
      <c r="I31">
        <v>1.9359999999999999</v>
      </c>
      <c r="J31">
        <v>23.58</v>
      </c>
      <c r="O31" s="1" t="b">
        <f>ISNUMBER(MixedFruit[[#This Row],[Year]])</f>
        <v>1</v>
      </c>
    </row>
    <row r="32" spans="1:15" ht="15.75" thickBot="1" x14ac:dyDescent="0.3">
      <c r="A32" t="s">
        <v>25</v>
      </c>
      <c r="B32" t="s">
        <v>42</v>
      </c>
      <c r="C32" t="s">
        <v>14</v>
      </c>
      <c r="K32" t="s">
        <v>15</v>
      </c>
      <c r="L32" s="6">
        <v>0.58330000000000004</v>
      </c>
      <c r="O32" s="1" t="b">
        <f>ISNUMBER(MixedFruit[[#This Row],[Year]])</f>
        <v>0</v>
      </c>
    </row>
    <row r="33" spans="1:15" ht="15.75" thickBot="1" x14ac:dyDescent="0.3">
      <c r="A33" t="s">
        <v>25</v>
      </c>
      <c r="B33" t="s">
        <v>42</v>
      </c>
      <c r="C33" t="s">
        <v>14</v>
      </c>
      <c r="K33" t="s">
        <v>16</v>
      </c>
      <c r="L33" s="6">
        <v>0.25</v>
      </c>
      <c r="O33" s="1" t="b">
        <f>ISNUMBER(MixedFruit[[#This Row],[Year]])</f>
        <v>0</v>
      </c>
    </row>
    <row r="34" spans="1:15" ht="15.75" thickBot="1" x14ac:dyDescent="0.3">
      <c r="A34" t="s">
        <v>25</v>
      </c>
      <c r="B34" t="s">
        <v>42</v>
      </c>
      <c r="C34" t="s">
        <v>14</v>
      </c>
      <c r="K34" t="s">
        <v>17</v>
      </c>
      <c r="L34" s="6">
        <v>0.16669999999999999</v>
      </c>
      <c r="O34" s="1" t="b">
        <f>ISNUMBER(MixedFruit[[#This Row],[Year]])</f>
        <v>0</v>
      </c>
    </row>
    <row r="35" spans="1:15" ht="15.75" thickBot="1" x14ac:dyDescent="0.3">
      <c r="A35" t="s">
        <v>26</v>
      </c>
      <c r="B35" t="s">
        <v>41</v>
      </c>
      <c r="C35" t="s">
        <v>14</v>
      </c>
      <c r="D35">
        <v>2021</v>
      </c>
      <c r="H35" s="4">
        <v>0</v>
      </c>
      <c r="I35">
        <v>1.97</v>
      </c>
      <c r="J35">
        <v>25.9</v>
      </c>
      <c r="O35" s="1" t="b">
        <f>ISNUMBER(MixedFruit[[#This Row],[Year]])</f>
        <v>1</v>
      </c>
    </row>
    <row r="36" spans="1:15" ht="15.75" thickBot="1" x14ac:dyDescent="0.3">
      <c r="A36" t="s">
        <v>26</v>
      </c>
      <c r="B36" t="s">
        <v>41</v>
      </c>
      <c r="C36" t="s">
        <v>14</v>
      </c>
      <c r="D36">
        <v>2022</v>
      </c>
      <c r="H36" s="10">
        <v>0</v>
      </c>
      <c r="I36">
        <v>1.97</v>
      </c>
      <c r="J36">
        <v>27.05</v>
      </c>
      <c r="O36" s="1" t="b">
        <f>ISNUMBER(MixedFruit[[#This Row],[Year]])</f>
        <v>1</v>
      </c>
    </row>
    <row r="37" spans="1:15" ht="15.75" thickBot="1" x14ac:dyDescent="0.3">
      <c r="A37" t="s">
        <v>27</v>
      </c>
      <c r="B37" t="s">
        <v>41</v>
      </c>
      <c r="C37" t="s">
        <v>14</v>
      </c>
      <c r="K37" t="s">
        <v>15</v>
      </c>
      <c r="L37" s="6">
        <v>0.56000000000000005</v>
      </c>
      <c r="O37" s="1" t="b">
        <f>ISNUMBER(MixedFruit[[#This Row],[Year]])</f>
        <v>0</v>
      </c>
    </row>
    <row r="38" spans="1:15" ht="15.75" thickBot="1" x14ac:dyDescent="0.3">
      <c r="A38" t="s">
        <v>27</v>
      </c>
      <c r="B38" t="s">
        <v>41</v>
      </c>
      <c r="C38" t="s">
        <v>14</v>
      </c>
      <c r="K38" t="s">
        <v>16</v>
      </c>
      <c r="L38" s="6">
        <v>0.06</v>
      </c>
      <c r="O38" s="1" t="b">
        <f>ISNUMBER(MixedFruit[[#This Row],[Year]])</f>
        <v>0</v>
      </c>
    </row>
    <row r="39" spans="1:15" ht="15.75" thickBot="1" x14ac:dyDescent="0.3">
      <c r="A39" t="s">
        <v>27</v>
      </c>
      <c r="B39" t="s">
        <v>41</v>
      </c>
      <c r="C39" t="s">
        <v>14</v>
      </c>
      <c r="K39" t="s">
        <v>17</v>
      </c>
      <c r="L39" s="6">
        <v>0.31</v>
      </c>
      <c r="O39" s="1" t="b">
        <f>ISNUMBER(MixedFruit[[#This Row],[Year]])</f>
        <v>0</v>
      </c>
    </row>
    <row r="40" spans="1:15" ht="15.75" thickBot="1" x14ac:dyDescent="0.3">
      <c r="A40" t="s">
        <v>27</v>
      </c>
      <c r="B40" t="s">
        <v>41</v>
      </c>
      <c r="C40" t="s">
        <v>14</v>
      </c>
      <c r="O40" s="1" t="b">
        <f>ISNUMBER(MixedFruit[[#This Row],[Year]])</f>
        <v>0</v>
      </c>
    </row>
    <row r="41" spans="1:15" ht="15.75" thickBot="1" x14ac:dyDescent="0.3">
      <c r="A41" t="s">
        <v>28</v>
      </c>
      <c r="B41" t="s">
        <v>45</v>
      </c>
      <c r="C41" t="s">
        <v>29</v>
      </c>
      <c r="M41" t="s">
        <v>30</v>
      </c>
      <c r="N41">
        <v>676896</v>
      </c>
      <c r="O41" s="1" t="b">
        <f>ISNUMBER(MixedFruit[[#This Row],[Year]])</f>
        <v>0</v>
      </c>
    </row>
    <row r="42" spans="1:15" ht="15.75" thickBot="1" x14ac:dyDescent="0.3">
      <c r="A42" t="s">
        <v>28</v>
      </c>
      <c r="B42" t="s">
        <v>45</v>
      </c>
      <c r="C42" t="s">
        <v>29</v>
      </c>
      <c r="K42" t="s">
        <v>15</v>
      </c>
      <c r="L42" s="4">
        <v>0.33</v>
      </c>
      <c r="M42" t="s">
        <v>31</v>
      </c>
      <c r="N42">
        <v>423774</v>
      </c>
      <c r="O42" s="1" t="b">
        <f>ISNUMBER(MixedFruit[[#This Row],[Year]])</f>
        <v>0</v>
      </c>
    </row>
    <row r="43" spans="1:15" ht="15.75" thickBot="1" x14ac:dyDescent="0.3">
      <c r="A43" t="s">
        <v>28</v>
      </c>
      <c r="B43" t="s">
        <v>45</v>
      </c>
      <c r="C43" t="s">
        <v>29</v>
      </c>
      <c r="K43" t="s">
        <v>16</v>
      </c>
      <c r="L43" s="4">
        <v>0.17</v>
      </c>
      <c r="M43" t="s">
        <v>32</v>
      </c>
      <c r="N43">
        <v>744471</v>
      </c>
      <c r="O43" s="1" t="b">
        <f>ISNUMBER(MixedFruit[[#This Row],[Year]])</f>
        <v>0</v>
      </c>
    </row>
    <row r="44" spans="1:15" ht="15.75" thickBot="1" x14ac:dyDescent="0.3">
      <c r="A44" t="s">
        <v>28</v>
      </c>
      <c r="B44" t="s">
        <v>45</v>
      </c>
      <c r="C44" t="s">
        <v>29</v>
      </c>
      <c r="K44" t="s">
        <v>23</v>
      </c>
      <c r="L44" s="4">
        <v>0.5</v>
      </c>
      <c r="M44" t="s">
        <v>33</v>
      </c>
      <c r="N44">
        <v>1087531</v>
      </c>
      <c r="O44" s="1" t="b">
        <f>ISNUMBER(MixedFruit[[#This Row],[Year]])</f>
        <v>0</v>
      </c>
    </row>
    <row r="45" spans="1:15" ht="15.75" thickBot="1" x14ac:dyDescent="0.3">
      <c r="A45" t="s">
        <v>28</v>
      </c>
      <c r="B45" t="s">
        <v>45</v>
      </c>
      <c r="C45" t="s">
        <v>29</v>
      </c>
      <c r="M45" t="s">
        <v>34</v>
      </c>
      <c r="N45">
        <v>823830</v>
      </c>
      <c r="O45" s="1" t="b">
        <f>ISNUMBER(MixedFruit[[#This Row],[Year]])</f>
        <v>0</v>
      </c>
    </row>
    <row r="46" spans="1:15" ht="15.75" thickBot="1" x14ac:dyDescent="0.3">
      <c r="A46" t="s">
        <v>28</v>
      </c>
      <c r="B46" t="s">
        <v>45</v>
      </c>
      <c r="C46" t="s">
        <v>29</v>
      </c>
      <c r="M46" t="s">
        <v>35</v>
      </c>
      <c r="N46">
        <v>1604096</v>
      </c>
      <c r="O46" s="1" t="b">
        <f>ISNUMBER(MixedFruit[[#This Row],[Year]])</f>
        <v>0</v>
      </c>
    </row>
    <row r="47" spans="1:15" ht="15.75" thickBot="1" x14ac:dyDescent="0.3">
      <c r="A47" t="s">
        <v>28</v>
      </c>
      <c r="B47" t="s">
        <v>45</v>
      </c>
      <c r="C47" t="s">
        <v>29</v>
      </c>
      <c r="D47">
        <v>2021</v>
      </c>
      <c r="E47">
        <v>70.2</v>
      </c>
      <c r="O47" s="1" t="b">
        <f>ISNUMBER(MixedFruit[[#This Row],[Year]])</f>
        <v>1</v>
      </c>
    </row>
    <row r="48" spans="1:15" ht="15.75" thickBot="1" x14ac:dyDescent="0.3">
      <c r="A48" t="s">
        <v>28</v>
      </c>
      <c r="B48" t="s">
        <v>45</v>
      </c>
      <c r="C48" t="s">
        <v>29</v>
      </c>
      <c r="D48">
        <v>2022</v>
      </c>
      <c r="E48">
        <v>66.150000000000006</v>
      </c>
      <c r="O48" s="1" t="b">
        <f>ISNUMBER(MixedFruit[[#This Row],[Year]])</f>
        <v>1</v>
      </c>
    </row>
    <row r="49" spans="1:15" ht="15.75" thickBot="1" x14ac:dyDescent="0.3">
      <c r="A49" t="s">
        <v>36</v>
      </c>
      <c r="B49" t="s">
        <v>43</v>
      </c>
      <c r="C49" t="s">
        <v>20</v>
      </c>
      <c r="D49">
        <v>2021</v>
      </c>
      <c r="H49" s="6">
        <v>7.4999999999999997E-2</v>
      </c>
      <c r="I49">
        <v>0.91</v>
      </c>
      <c r="J49">
        <v>16.61</v>
      </c>
      <c r="O49" s="1" t="b">
        <f>ISNUMBER(MixedFruit[[#This Row],[Year]])</f>
        <v>1</v>
      </c>
    </row>
    <row r="50" spans="1:15" ht="15.75" thickBot="1" x14ac:dyDescent="0.3">
      <c r="A50" t="s">
        <v>36</v>
      </c>
      <c r="B50" t="s">
        <v>43</v>
      </c>
      <c r="C50" t="s">
        <v>20</v>
      </c>
      <c r="D50">
        <v>2022</v>
      </c>
      <c r="H50" s="6">
        <v>7.4999999999999997E-2</v>
      </c>
      <c r="I50">
        <v>0.91</v>
      </c>
      <c r="J50">
        <v>14.16</v>
      </c>
      <c r="O50" s="1" t="b">
        <f>ISNUMBER(MixedFruit[[#This Row],[Year]])</f>
        <v>1</v>
      </c>
    </row>
    <row r="51" spans="1:15" ht="15.75" thickBot="1" x14ac:dyDescent="0.3">
      <c r="A51" t="s">
        <v>36</v>
      </c>
      <c r="B51" t="s">
        <v>43</v>
      </c>
      <c r="C51" t="s">
        <v>20</v>
      </c>
      <c r="K51" t="s">
        <v>23</v>
      </c>
      <c r="L51" s="4">
        <v>1</v>
      </c>
      <c r="O51" s="1" t="b">
        <f>ISNUMBER(MixedFruit[[#This Row],[Year]])</f>
        <v>0</v>
      </c>
    </row>
    <row r="52" spans="1:15" ht="46.5" customHeight="1" thickBot="1" x14ac:dyDescent="0.3">
      <c r="A52" s="2" t="s">
        <v>37</v>
      </c>
      <c r="B52" t="s">
        <v>40</v>
      </c>
      <c r="C52" t="s">
        <v>22</v>
      </c>
      <c r="D52">
        <v>2021</v>
      </c>
      <c r="E52">
        <v>35.950000000000003</v>
      </c>
      <c r="G52" s="4">
        <v>0.77</v>
      </c>
      <c r="H52" s="6">
        <v>2.2499999999999999E-2</v>
      </c>
      <c r="O52" s="1" t="b">
        <f>ISNUMBER(MixedFruit[[#This Row],[Year]])</f>
        <v>1</v>
      </c>
    </row>
    <row r="53" spans="1:15" ht="30.75" thickBot="1" x14ac:dyDescent="0.3">
      <c r="A53" s="2" t="s">
        <v>38</v>
      </c>
      <c r="B53" t="s">
        <v>42</v>
      </c>
      <c r="C53" s="2" t="s">
        <v>14</v>
      </c>
      <c r="D53">
        <v>2021</v>
      </c>
      <c r="E53">
        <v>21.7</v>
      </c>
      <c r="F53">
        <v>1.9359999999999999</v>
      </c>
      <c r="H53" s="4">
        <v>0</v>
      </c>
      <c r="O53" s="1" t="b">
        <f>ISNUMBER(MixedFruit[[#This Row],[Year]])</f>
        <v>1</v>
      </c>
    </row>
    <row r="54" spans="1:15" ht="30.75" thickBot="1" x14ac:dyDescent="0.3">
      <c r="A54" s="2" t="s">
        <v>38</v>
      </c>
      <c r="B54" t="s">
        <v>42</v>
      </c>
      <c r="C54" t="s">
        <v>14</v>
      </c>
      <c r="K54" t="s">
        <v>15</v>
      </c>
      <c r="L54" s="6">
        <v>0.69199999999999995</v>
      </c>
      <c r="O54" s="1" t="b">
        <f>ISNUMBER(MixedFruit[[#This Row],[Year]])</f>
        <v>0</v>
      </c>
    </row>
    <row r="55" spans="1:15" ht="30.75" thickBot="1" x14ac:dyDescent="0.3">
      <c r="A55" s="2" t="s">
        <v>38</v>
      </c>
      <c r="B55" t="s">
        <v>42</v>
      </c>
      <c r="C55" t="s">
        <v>14</v>
      </c>
      <c r="K55" t="s">
        <v>16</v>
      </c>
      <c r="L55" s="6">
        <v>0.154</v>
      </c>
      <c r="O55" s="1" t="b">
        <f>ISNUMBER(MixedFruit[[#This Row],[Year]])</f>
        <v>0</v>
      </c>
    </row>
    <row r="56" spans="1:15" ht="30.75" thickBot="1" x14ac:dyDescent="0.3">
      <c r="A56" s="2" t="s">
        <v>38</v>
      </c>
      <c r="B56" t="s">
        <v>42</v>
      </c>
      <c r="C56" t="s">
        <v>14</v>
      </c>
      <c r="K56" t="s">
        <v>17</v>
      </c>
      <c r="L56" s="6">
        <v>0.154</v>
      </c>
      <c r="O56" s="1" t="b">
        <f>ISNUMBER(MixedFruit[[#This Row],[Year]])</f>
        <v>0</v>
      </c>
    </row>
    <row r="57" spans="1:15" ht="30.75" thickBot="1" x14ac:dyDescent="0.3">
      <c r="A57" s="2" t="s">
        <v>39</v>
      </c>
      <c r="B57" t="s">
        <v>41</v>
      </c>
      <c r="C57" t="s">
        <v>14</v>
      </c>
      <c r="D57">
        <v>2021</v>
      </c>
      <c r="E57">
        <v>24.35</v>
      </c>
      <c r="F57">
        <v>1.97</v>
      </c>
      <c r="H57" s="4">
        <v>0</v>
      </c>
      <c r="O57" s="1" t="b">
        <f>ISNUMBER(MixedFruit[[#This Row],[Year]])</f>
        <v>1</v>
      </c>
    </row>
    <row r="58" spans="1:15" ht="30.75" thickBot="1" x14ac:dyDescent="0.3">
      <c r="A58" s="2" t="s">
        <v>39</v>
      </c>
      <c r="B58" t="s">
        <v>41</v>
      </c>
      <c r="C58" t="s">
        <v>14</v>
      </c>
      <c r="K58" t="s">
        <v>15</v>
      </c>
      <c r="L58" s="4">
        <v>0.79</v>
      </c>
      <c r="O58" s="1" t="b">
        <f>ISNUMBER(MixedFruit[[#This Row],[Year]])</f>
        <v>0</v>
      </c>
    </row>
    <row r="59" spans="1:15" ht="30.75" thickBot="1" x14ac:dyDescent="0.3">
      <c r="A59" s="2" t="s">
        <v>39</v>
      </c>
      <c r="B59" t="s">
        <v>41</v>
      </c>
      <c r="C59" t="s">
        <v>14</v>
      </c>
      <c r="K59" t="s">
        <v>16</v>
      </c>
      <c r="L59" s="4">
        <v>0.1</v>
      </c>
      <c r="O59" s="1" t="b">
        <f>ISNUMBER(MixedFruit[[#This Row],[Year]])</f>
        <v>0</v>
      </c>
    </row>
    <row r="60" spans="1:15" ht="30.75" thickBot="1" x14ac:dyDescent="0.3">
      <c r="A60" s="2" t="s">
        <v>39</v>
      </c>
      <c r="B60" t="s">
        <v>41</v>
      </c>
      <c r="C60" t="s">
        <v>14</v>
      </c>
      <c r="K60" t="s">
        <v>17</v>
      </c>
      <c r="L60" s="4">
        <v>0.08</v>
      </c>
      <c r="O60" s="1" t="b">
        <f>ISNUMBER(MixedFruit[[#This Row],[Year]])</f>
        <v>0</v>
      </c>
    </row>
    <row r="61" spans="1:15" ht="15.75" thickBot="1" x14ac:dyDescent="0.3">
      <c r="A61" s="1" t="s">
        <v>53</v>
      </c>
      <c r="B61" s="8" t="s">
        <v>40</v>
      </c>
      <c r="C61" s="1" t="s">
        <v>22</v>
      </c>
      <c r="D61" s="3">
        <v>2021</v>
      </c>
      <c r="E61" s="3">
        <v>35.950000000000003</v>
      </c>
      <c r="F61" s="1"/>
      <c r="G61" s="5">
        <v>0.76</v>
      </c>
      <c r="H61" s="7">
        <v>2.2499999999999999E-2</v>
      </c>
      <c r="I61" s="1"/>
      <c r="J61" s="1"/>
      <c r="K61" s="1"/>
      <c r="L61" s="1"/>
      <c r="O61" s="1" t="b">
        <f>ISNUMBER(MixedFruit[[#This Row],[Year]])</f>
        <v>1</v>
      </c>
    </row>
    <row r="62" spans="1:15" ht="15.75" thickBot="1" x14ac:dyDescent="0.3">
      <c r="A62" s="1" t="s">
        <v>53</v>
      </c>
      <c r="B62" s="8" t="s">
        <v>40</v>
      </c>
      <c r="C62" s="1" t="s">
        <v>22</v>
      </c>
      <c r="D62" s="3">
        <v>2022</v>
      </c>
      <c r="E62" s="3">
        <v>33.18</v>
      </c>
      <c r="F62" s="1"/>
      <c r="G62" s="5">
        <v>0.68</v>
      </c>
      <c r="H62" s="5">
        <v>0</v>
      </c>
      <c r="I62" s="1"/>
      <c r="J62" s="1"/>
      <c r="K62" s="1"/>
      <c r="L62" s="1"/>
      <c r="O62" s="1" t="b">
        <f>ISNUMBER(MixedFruit[[#This Row],[Year]])</f>
        <v>1</v>
      </c>
    </row>
    <row r="63" spans="1:15" ht="15.75" thickBot="1" x14ac:dyDescent="0.3">
      <c r="A63" s="1" t="s">
        <v>53</v>
      </c>
      <c r="B63" s="8" t="s">
        <v>40</v>
      </c>
      <c r="C63" s="1" t="s">
        <v>22</v>
      </c>
      <c r="D63" s="3">
        <v>2023</v>
      </c>
      <c r="E63" s="3">
        <v>28</v>
      </c>
      <c r="F63" s="1"/>
      <c r="G63" s="5">
        <v>0.59</v>
      </c>
      <c r="H63" s="5">
        <v>0</v>
      </c>
      <c r="I63" s="1"/>
      <c r="J63" s="1"/>
      <c r="K63" s="1"/>
      <c r="L63" s="1"/>
      <c r="O63" s="1" t="b">
        <f>ISNUMBER(MixedFruit[[#This Row],[Year]])</f>
        <v>1</v>
      </c>
    </row>
    <row r="64" spans="1:15" ht="15.75" thickBot="1" x14ac:dyDescent="0.3">
      <c r="A64" s="1" t="s">
        <v>53</v>
      </c>
      <c r="B64" s="8" t="s">
        <v>40</v>
      </c>
      <c r="C64" s="1" t="s">
        <v>22</v>
      </c>
      <c r="D64" s="3">
        <v>2024</v>
      </c>
      <c r="E64" s="3">
        <v>26.3</v>
      </c>
      <c r="F64" s="1"/>
      <c r="G64" s="5">
        <v>0.48</v>
      </c>
      <c r="H64" s="5">
        <v>0</v>
      </c>
      <c r="I64" s="1"/>
      <c r="J64" s="1"/>
      <c r="K64" s="1"/>
      <c r="L64" s="1"/>
      <c r="O64" s="1" t="b">
        <f>ISNUMBER(MixedFruit[[#This Row],[Year]])</f>
        <v>1</v>
      </c>
    </row>
    <row r="65" spans="1:15" ht="15.75" thickBot="1" x14ac:dyDescent="0.3">
      <c r="A65" s="1" t="s">
        <v>54</v>
      </c>
      <c r="B65" s="8" t="s">
        <v>41</v>
      </c>
      <c r="C65" t="s">
        <v>14</v>
      </c>
      <c r="D65" s="3">
        <v>2021</v>
      </c>
      <c r="E65" s="1"/>
      <c r="F65" s="1"/>
      <c r="G65" s="1"/>
      <c r="H65" s="1"/>
      <c r="I65" s="3">
        <v>1.97</v>
      </c>
      <c r="J65" s="3">
        <v>27.05</v>
      </c>
      <c r="K65" s="1"/>
      <c r="L65" s="1"/>
      <c r="O65" s="1" t="b">
        <f>ISNUMBER(MixedFruit[[#This Row],[Year]])</f>
        <v>1</v>
      </c>
    </row>
    <row r="66" spans="1:15" ht="15.75" thickBot="1" x14ac:dyDescent="0.3">
      <c r="A66" s="1" t="s">
        <v>54</v>
      </c>
      <c r="B66" s="8" t="s">
        <v>41</v>
      </c>
      <c r="C66" t="s">
        <v>14</v>
      </c>
      <c r="D66" s="1"/>
      <c r="E66" s="1"/>
      <c r="F66" s="1"/>
      <c r="G66" s="1"/>
      <c r="H66" s="1"/>
      <c r="I66" s="1"/>
      <c r="J66" s="1"/>
      <c r="K66" s="8" t="s">
        <v>55</v>
      </c>
      <c r="L66" s="9">
        <v>0.48</v>
      </c>
      <c r="O66" s="1" t="b">
        <f>ISNUMBER(MixedFruit[[#This Row],[Year]])</f>
        <v>0</v>
      </c>
    </row>
    <row r="67" spans="1:15" ht="15.75" thickBot="1" x14ac:dyDescent="0.3">
      <c r="A67" s="1" t="s">
        <v>54</v>
      </c>
      <c r="B67" s="8" t="s">
        <v>41</v>
      </c>
      <c r="C67" t="s">
        <v>14</v>
      </c>
      <c r="D67" s="1"/>
      <c r="E67" s="1"/>
      <c r="F67" s="1"/>
      <c r="G67" s="1"/>
      <c r="H67" s="1"/>
      <c r="I67" s="1"/>
      <c r="J67" s="1"/>
      <c r="K67" s="8" t="s">
        <v>56</v>
      </c>
      <c r="L67" s="9">
        <v>0.12</v>
      </c>
      <c r="O67" s="1" t="b">
        <f>ISNUMBER(MixedFruit[[#This Row],[Year]])</f>
        <v>0</v>
      </c>
    </row>
    <row r="68" spans="1:15" ht="15.75" thickBot="1" x14ac:dyDescent="0.3">
      <c r="A68" s="1" t="s">
        <v>54</v>
      </c>
      <c r="B68" s="8" t="s">
        <v>41</v>
      </c>
      <c r="C68" t="s">
        <v>14</v>
      </c>
      <c r="D68" s="1"/>
      <c r="E68" s="1"/>
      <c r="F68" s="1"/>
      <c r="G68" s="1"/>
      <c r="H68" s="1"/>
      <c r="I68" s="1"/>
      <c r="J68" s="1"/>
      <c r="K68" s="8" t="s">
        <v>57</v>
      </c>
      <c r="L68" s="9">
        <v>0.13</v>
      </c>
      <c r="O68" s="1" t="b">
        <f>ISNUMBER(MixedFruit[[#This Row],[Year]])</f>
        <v>0</v>
      </c>
    </row>
    <row r="69" spans="1:15" ht="15.75" thickBot="1" x14ac:dyDescent="0.3">
      <c r="A69" s="1" t="s">
        <v>54</v>
      </c>
      <c r="B69" s="8" t="s">
        <v>41</v>
      </c>
      <c r="C69" t="s">
        <v>14</v>
      </c>
      <c r="D69" s="1"/>
      <c r="E69" s="1"/>
      <c r="F69" s="1"/>
      <c r="G69" s="1"/>
      <c r="H69" s="1"/>
      <c r="I69" s="1"/>
      <c r="J69" s="1"/>
      <c r="K69" s="8" t="s">
        <v>58</v>
      </c>
      <c r="L69" s="9">
        <v>0.27</v>
      </c>
      <c r="O69" s="1" t="b">
        <f>ISNUMBER(MixedFruit[[#This Row],[Year]])</f>
        <v>0</v>
      </c>
    </row>
    <row r="70" spans="1:15" ht="15.75" thickBot="1" x14ac:dyDescent="0.3">
      <c r="A70" s="1" t="s">
        <v>54</v>
      </c>
      <c r="B70" s="8" t="s">
        <v>41</v>
      </c>
      <c r="C70" t="s">
        <v>14</v>
      </c>
      <c r="D70" s="3">
        <v>2022</v>
      </c>
      <c r="E70" s="1"/>
      <c r="F70" s="1"/>
      <c r="G70" s="1"/>
      <c r="H70" s="1"/>
      <c r="I70" s="3">
        <v>1.97</v>
      </c>
      <c r="J70" s="3">
        <v>27.05</v>
      </c>
      <c r="K70" s="1"/>
      <c r="L70" s="1"/>
      <c r="O70" s="1" t="b">
        <f>ISNUMBER(MixedFruit[[#This Row],[Year]])</f>
        <v>1</v>
      </c>
    </row>
    <row r="71" spans="1:15" ht="15.75" thickBot="1" x14ac:dyDescent="0.3">
      <c r="A71" s="1" t="s">
        <v>54</v>
      </c>
      <c r="B71" s="8" t="s">
        <v>41</v>
      </c>
      <c r="C71" t="s">
        <v>14</v>
      </c>
      <c r="D71" s="3">
        <v>2023</v>
      </c>
      <c r="E71" s="1"/>
      <c r="F71" s="1"/>
      <c r="G71" s="1"/>
      <c r="H71" s="1"/>
      <c r="I71" s="3">
        <v>2.0699999999999998</v>
      </c>
      <c r="J71" s="3">
        <v>25.2</v>
      </c>
      <c r="K71" s="1"/>
      <c r="L71" s="1"/>
      <c r="O71" s="1" t="b">
        <f>ISNUMBER(MixedFruit[[#This Row],[Year]])</f>
        <v>1</v>
      </c>
    </row>
    <row r="72" spans="1:15" ht="15.75" thickBot="1" x14ac:dyDescent="0.3">
      <c r="A72" s="1" t="s">
        <v>54</v>
      </c>
      <c r="B72" s="8" t="s">
        <v>41</v>
      </c>
      <c r="C72" t="s">
        <v>14</v>
      </c>
      <c r="D72" s="3">
        <v>2024</v>
      </c>
      <c r="E72" s="1"/>
      <c r="F72" s="1"/>
      <c r="G72" s="1"/>
      <c r="H72" s="1"/>
      <c r="I72" s="3">
        <v>2.1</v>
      </c>
      <c r="J72" s="3">
        <v>25.65</v>
      </c>
      <c r="K72" s="1"/>
      <c r="L72" s="1"/>
      <c r="O72" s="1" t="b">
        <f>ISNUMBER(MixedFruit[[#This Row],[Year]])</f>
        <v>1</v>
      </c>
    </row>
    <row r="73" spans="1:15" ht="15.75" thickBot="1" x14ac:dyDescent="0.3">
      <c r="A73" s="1" t="s">
        <v>59</v>
      </c>
      <c r="B73" s="8" t="s">
        <v>42</v>
      </c>
      <c r="C73" s="15" t="s">
        <v>14</v>
      </c>
      <c r="D73" s="3">
        <v>2021</v>
      </c>
      <c r="E73" s="1"/>
      <c r="F73" s="1"/>
      <c r="G73" s="1"/>
      <c r="H73" s="1"/>
      <c r="I73" s="3">
        <v>1.94</v>
      </c>
      <c r="J73" s="3">
        <v>21.7</v>
      </c>
      <c r="K73" s="1"/>
      <c r="L73" s="1"/>
      <c r="O73" s="1" t="b">
        <f>ISNUMBER(MixedFruit[[#This Row],[Year]])</f>
        <v>1</v>
      </c>
    </row>
    <row r="74" spans="1:15" ht="15.75" thickBot="1" x14ac:dyDescent="0.3">
      <c r="A74" s="1" t="s">
        <v>59</v>
      </c>
      <c r="B74" s="8" t="s">
        <v>42</v>
      </c>
      <c r="C74" s="15" t="s">
        <v>14</v>
      </c>
      <c r="D74" s="3">
        <v>2022</v>
      </c>
      <c r="E74" s="1"/>
      <c r="F74" s="1"/>
      <c r="G74" s="1"/>
      <c r="H74" s="1"/>
      <c r="I74" s="3">
        <v>1.99</v>
      </c>
      <c r="J74" s="3">
        <v>23.58</v>
      </c>
      <c r="K74" s="1"/>
      <c r="L74" s="1"/>
      <c r="O74" s="1" t="b">
        <f>ISNUMBER(MixedFruit[[#This Row],[Year]])</f>
        <v>1</v>
      </c>
    </row>
    <row r="75" spans="1:15" ht="15.75" thickBot="1" x14ac:dyDescent="0.3">
      <c r="A75" s="1" t="s">
        <v>59</v>
      </c>
      <c r="B75" s="8" t="s">
        <v>42</v>
      </c>
      <c r="C75" s="15" t="s">
        <v>14</v>
      </c>
      <c r="D75" s="3">
        <v>2023</v>
      </c>
      <c r="E75" s="1"/>
      <c r="F75" s="1"/>
      <c r="G75" s="1"/>
      <c r="H75" s="1"/>
      <c r="I75" s="3">
        <v>1.69</v>
      </c>
      <c r="J75" s="3">
        <v>15.05</v>
      </c>
      <c r="K75" s="1"/>
      <c r="L75" s="1"/>
      <c r="O75" s="1" t="b">
        <f>ISNUMBER(MixedFruit[[#This Row],[Year]])</f>
        <v>1</v>
      </c>
    </row>
    <row r="76" spans="1:15" ht="15.75" thickBot="1" x14ac:dyDescent="0.3">
      <c r="A76" s="1" t="s">
        <v>60</v>
      </c>
      <c r="B76" s="8" t="s">
        <v>43</v>
      </c>
      <c r="C76" s="15" t="s">
        <v>61</v>
      </c>
      <c r="D76" s="3">
        <v>2021</v>
      </c>
      <c r="E76" s="3">
        <v>16.600000000000001</v>
      </c>
      <c r="F76" s="1"/>
      <c r="G76" s="1"/>
      <c r="H76" s="1"/>
      <c r="I76" s="1"/>
      <c r="J76" s="1"/>
      <c r="K76" s="1"/>
      <c r="L76" s="1"/>
      <c r="O76" s="1" t="b">
        <f>ISNUMBER(MixedFruit[[#This Row],[Year]])</f>
        <v>1</v>
      </c>
    </row>
    <row r="77" spans="1:15" ht="15.75" thickBot="1" x14ac:dyDescent="0.3">
      <c r="A77" s="1" t="s">
        <v>60</v>
      </c>
      <c r="B77" s="8" t="s">
        <v>43</v>
      </c>
      <c r="C77" s="15" t="s">
        <v>61</v>
      </c>
      <c r="D77" s="3">
        <v>2022</v>
      </c>
      <c r="E77" s="3">
        <v>14.4</v>
      </c>
      <c r="F77" s="1"/>
      <c r="G77" s="1"/>
      <c r="H77" s="1"/>
      <c r="I77" s="1"/>
      <c r="J77" s="1"/>
      <c r="K77" s="1"/>
      <c r="L77" s="1"/>
      <c r="O77" s="1" t="b">
        <f>ISNUMBER(MixedFruit[[#This Row],[Year]])</f>
        <v>1</v>
      </c>
    </row>
    <row r="78" spans="1:15" ht="15.75" thickBot="1" x14ac:dyDescent="0.3">
      <c r="A78" s="1" t="s">
        <v>60</v>
      </c>
      <c r="B78" s="8" t="s">
        <v>43</v>
      </c>
      <c r="C78" s="15" t="s">
        <v>61</v>
      </c>
      <c r="D78" s="3">
        <v>2023</v>
      </c>
      <c r="E78" s="3">
        <v>18.100000000000001</v>
      </c>
      <c r="F78" s="1"/>
      <c r="G78" s="1"/>
      <c r="H78" s="1"/>
      <c r="I78" s="1"/>
      <c r="J78" s="1"/>
      <c r="K78" s="1"/>
      <c r="L78" s="1"/>
      <c r="O78" s="1" t="b">
        <f>ISNUMBER(MixedFruit[[#This Row],[Year]])</f>
        <v>1</v>
      </c>
    </row>
    <row r="79" spans="1:15" ht="15.75" thickBot="1" x14ac:dyDescent="0.3">
      <c r="A79" s="1" t="s">
        <v>60</v>
      </c>
      <c r="B79" s="8" t="s">
        <v>43</v>
      </c>
      <c r="C79" s="15" t="s">
        <v>61</v>
      </c>
      <c r="D79" s="3">
        <v>2024</v>
      </c>
      <c r="E79" s="3">
        <v>16.2</v>
      </c>
      <c r="F79" s="1"/>
      <c r="G79" s="1"/>
      <c r="H79" s="1"/>
      <c r="I79" s="1"/>
      <c r="J79" s="1"/>
      <c r="K79" s="1"/>
      <c r="L79" s="1"/>
      <c r="O79" s="18" t="b">
        <f>ISNUMBER(MixedFruit[[#This Row],[Year]])</f>
        <v>1</v>
      </c>
    </row>
  </sheetData>
  <phoneticPr fontId="9"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C4C74-8C9F-4609-B799-68911DCD53FA}">
  <sheetPr codeName="Sheet5">
    <tabColor theme="4" tint="-0.499984740745262"/>
  </sheetPr>
  <dimension ref="A1:P349"/>
  <sheetViews>
    <sheetView workbookViewId="0">
      <pane ySplit="1" topLeftCell="A2" activePane="bottomLeft" state="frozen"/>
      <selection pane="bottomLeft" activeCell="A2" sqref="A2"/>
    </sheetView>
  </sheetViews>
  <sheetFormatPr defaultColWidth="9.140625" defaultRowHeight="14.25" customHeight="1" x14ac:dyDescent="0.25"/>
  <cols>
    <col min="1" max="1" width="15.85546875" bestFit="1" customWidth="1"/>
    <col min="2" max="2" width="28.28515625" bestFit="1" customWidth="1"/>
    <col min="3" max="3" width="18.5703125" bestFit="1" customWidth="1"/>
    <col min="4" max="4" width="27.42578125" bestFit="1" customWidth="1"/>
    <col min="5" max="5" width="7.28515625" bestFit="1" customWidth="1"/>
    <col min="6" max="6" width="15.140625" bestFit="1" customWidth="1"/>
    <col min="7" max="7" width="10" bestFit="1" customWidth="1"/>
    <col min="8" max="8" width="11.5703125" bestFit="1" customWidth="1"/>
    <col min="9" max="9" width="13.85546875" bestFit="1" customWidth="1"/>
    <col min="10" max="10" width="26" bestFit="1" customWidth="1"/>
    <col min="11" max="11" width="30.7109375" bestFit="1" customWidth="1"/>
    <col min="12" max="12" width="18.28515625" bestFit="1" customWidth="1"/>
    <col min="13" max="13" width="19.28515625" bestFit="1" customWidth="1"/>
    <col min="14" max="14" width="18.28515625" bestFit="1" customWidth="1"/>
    <col min="15" max="15" width="19.28515625" bestFit="1" customWidth="1"/>
    <col min="16" max="16" width="11.140625" bestFit="1" customWidth="1"/>
  </cols>
  <sheetData>
    <row r="1" spans="1:16" s="23" customFormat="1" ht="14.25" customHeight="1" x14ac:dyDescent="0.25">
      <c r="A1" s="25" t="s">
        <v>66</v>
      </c>
      <c r="B1" s="25" t="s">
        <v>65</v>
      </c>
      <c r="C1" s="25" t="s">
        <v>44</v>
      </c>
      <c r="D1" s="25" t="s">
        <v>0</v>
      </c>
      <c r="E1" s="25" t="s">
        <v>9</v>
      </c>
      <c r="F1" s="25" t="s">
        <v>1</v>
      </c>
      <c r="G1" s="25" t="s">
        <v>2</v>
      </c>
      <c r="H1" s="25" t="s">
        <v>3</v>
      </c>
      <c r="I1" s="25" t="s">
        <v>4</v>
      </c>
      <c r="J1" s="25" t="s">
        <v>5</v>
      </c>
      <c r="K1" s="25" t="s">
        <v>6</v>
      </c>
      <c r="L1" s="25" t="s">
        <v>7</v>
      </c>
      <c r="M1" s="25" t="s">
        <v>8</v>
      </c>
      <c r="N1" s="25" t="s">
        <v>10</v>
      </c>
      <c r="O1" s="25" t="s">
        <v>11</v>
      </c>
      <c r="P1" s="25" t="s">
        <v>70</v>
      </c>
    </row>
    <row r="2" spans="1:16" ht="14.25" customHeight="1" x14ac:dyDescent="0.25">
      <c r="A2" s="26"/>
      <c r="B2" s="27"/>
      <c r="C2" s="27"/>
      <c r="D2" s="27"/>
      <c r="E2" s="27"/>
      <c r="F2" s="27"/>
      <c r="G2" s="27"/>
      <c r="H2" s="27"/>
      <c r="I2" s="27"/>
      <c r="J2" s="27"/>
      <c r="K2" s="27"/>
      <c r="L2" s="27"/>
      <c r="M2" s="27"/>
      <c r="N2" s="27"/>
      <c r="O2" s="27"/>
      <c r="P2" s="27"/>
    </row>
    <row r="3" spans="1:16" ht="14.25" customHeight="1" x14ac:dyDescent="0.25">
      <c r="A3" s="16"/>
    </row>
    <row r="4" spans="1:16" ht="14.25" customHeight="1" x14ac:dyDescent="0.25">
      <c r="A4" s="16"/>
    </row>
    <row r="5" spans="1:16" ht="14.25" customHeight="1" x14ac:dyDescent="0.25">
      <c r="A5" s="16"/>
    </row>
    <row r="6" spans="1:16" ht="14.25" customHeight="1" x14ac:dyDescent="0.25">
      <c r="A6" s="16"/>
    </row>
    <row r="7" spans="1:16" ht="14.25" customHeight="1" x14ac:dyDescent="0.25">
      <c r="A7" s="16"/>
    </row>
    <row r="8" spans="1:16" ht="14.25" customHeight="1" x14ac:dyDescent="0.25">
      <c r="A8" s="16"/>
    </row>
    <row r="9" spans="1:16" ht="14.25" customHeight="1" x14ac:dyDescent="0.25">
      <c r="A9" s="16"/>
    </row>
    <row r="10" spans="1:16" ht="14.25" customHeight="1" x14ac:dyDescent="0.25">
      <c r="A10" s="16"/>
    </row>
    <row r="11" spans="1:16" ht="14.25" customHeight="1" x14ac:dyDescent="0.25">
      <c r="A11" s="16"/>
    </row>
    <row r="12" spans="1:16" ht="14.25" customHeight="1" x14ac:dyDescent="0.25">
      <c r="A12" s="16"/>
    </row>
    <row r="13" spans="1:16" ht="14.25" customHeight="1" x14ac:dyDescent="0.25">
      <c r="A13" s="16"/>
    </row>
    <row r="14" spans="1:16" ht="14.25" customHeight="1" x14ac:dyDescent="0.25">
      <c r="A14" s="16"/>
    </row>
    <row r="15" spans="1:16" ht="14.25" customHeight="1" x14ac:dyDescent="0.25">
      <c r="A15" s="16"/>
    </row>
    <row r="16" spans="1:16" ht="14.25" customHeight="1" x14ac:dyDescent="0.25">
      <c r="A16" s="16"/>
    </row>
    <row r="17" spans="1:2" ht="14.25" customHeight="1" x14ac:dyDescent="0.25">
      <c r="A17" s="16"/>
    </row>
    <row r="18" spans="1:2" ht="14.25" customHeight="1" x14ac:dyDescent="0.25">
      <c r="A18" s="16"/>
    </row>
    <row r="19" spans="1:2" ht="14.25" customHeight="1" x14ac:dyDescent="0.25">
      <c r="A19" s="16"/>
    </row>
    <row r="20" spans="1:2" ht="14.25" customHeight="1" x14ac:dyDescent="0.25">
      <c r="A20" s="16"/>
    </row>
    <row r="21" spans="1:2" ht="14.25" customHeight="1" x14ac:dyDescent="0.25">
      <c r="A21" s="16"/>
    </row>
    <row r="22" spans="1:2" ht="14.25" customHeight="1" x14ac:dyDescent="0.25">
      <c r="A22" s="16"/>
    </row>
    <row r="23" spans="1:2" ht="14.25" customHeight="1" x14ac:dyDescent="0.25">
      <c r="A23" s="16"/>
    </row>
    <row r="24" spans="1:2" ht="14.25" customHeight="1" x14ac:dyDescent="0.25">
      <c r="A24" s="16"/>
    </row>
    <row r="25" spans="1:2" ht="14.25" customHeight="1" x14ac:dyDescent="0.25">
      <c r="A25" s="16"/>
    </row>
    <row r="26" spans="1:2" ht="14.25" customHeight="1" x14ac:dyDescent="0.25">
      <c r="A26" s="16"/>
    </row>
    <row r="27" spans="1:2" ht="14.25" customHeight="1" x14ac:dyDescent="0.25">
      <c r="A27" s="16"/>
    </row>
    <row r="28" spans="1:2" ht="14.25" customHeight="1" x14ac:dyDescent="0.25">
      <c r="A28" s="16"/>
    </row>
    <row r="29" spans="1:2" ht="14.25" customHeight="1" x14ac:dyDescent="0.25">
      <c r="A29" s="16"/>
    </row>
    <row r="30" spans="1:2" ht="14.25" customHeight="1" x14ac:dyDescent="0.25">
      <c r="A30" s="16"/>
      <c r="B30" s="2"/>
    </row>
    <row r="31" spans="1:2" ht="14.25" customHeight="1" x14ac:dyDescent="0.25">
      <c r="A31" s="16"/>
      <c r="B31" s="2"/>
    </row>
    <row r="32" spans="1:2" ht="14.25" customHeight="1" x14ac:dyDescent="0.25">
      <c r="A32" s="16"/>
    </row>
    <row r="33" spans="1:2" ht="14.25" customHeight="1" x14ac:dyDescent="0.25">
      <c r="A33" s="16"/>
    </row>
    <row r="34" spans="1:2" ht="14.25" customHeight="1" x14ac:dyDescent="0.25">
      <c r="A34" s="16"/>
    </row>
    <row r="35" spans="1:2" ht="14.25" customHeight="1" x14ac:dyDescent="0.25">
      <c r="A35" s="16"/>
    </row>
    <row r="36" spans="1:2" ht="14.25" customHeight="1" x14ac:dyDescent="0.25">
      <c r="A36" s="16"/>
      <c r="B36" s="2"/>
    </row>
    <row r="37" spans="1:2" ht="14.25" customHeight="1" x14ac:dyDescent="0.25">
      <c r="A37" s="16"/>
      <c r="B37" s="2"/>
    </row>
    <row r="38" spans="1:2" ht="14.25" customHeight="1" x14ac:dyDescent="0.25">
      <c r="A38" s="16"/>
    </row>
    <row r="39" spans="1:2" ht="14.25" customHeight="1" x14ac:dyDescent="0.25">
      <c r="A39" s="16"/>
    </row>
    <row r="40" spans="1:2" ht="14.25" customHeight="1" x14ac:dyDescent="0.25">
      <c r="A40" s="16"/>
    </row>
    <row r="41" spans="1:2" ht="14.25" customHeight="1" x14ac:dyDescent="0.25">
      <c r="A41" s="16"/>
    </row>
    <row r="42" spans="1:2" ht="14.25" customHeight="1" x14ac:dyDescent="0.25">
      <c r="A42" s="16"/>
    </row>
    <row r="43" spans="1:2" ht="14.25" customHeight="1" x14ac:dyDescent="0.25">
      <c r="A43" s="16"/>
    </row>
    <row r="44" spans="1:2" ht="14.25" customHeight="1" x14ac:dyDescent="0.25">
      <c r="A44" s="16"/>
    </row>
    <row r="45" spans="1:2" ht="14.25" customHeight="1" x14ac:dyDescent="0.25">
      <c r="A45" s="16"/>
    </row>
    <row r="46" spans="1:2" ht="14.25" customHeight="1" x14ac:dyDescent="0.25">
      <c r="A46" s="16"/>
    </row>
    <row r="47" spans="1:2" ht="14.25" customHeight="1" x14ac:dyDescent="0.25">
      <c r="A47" s="16"/>
    </row>
    <row r="48" spans="1:2" ht="14.25" customHeight="1" x14ac:dyDescent="0.25">
      <c r="A48" s="16"/>
    </row>
    <row r="49" spans="1:1" ht="14.25" customHeight="1" x14ac:dyDescent="0.25">
      <c r="A49" s="16"/>
    </row>
    <row r="50" spans="1:1" ht="14.25" customHeight="1" x14ac:dyDescent="0.25">
      <c r="A50" s="16"/>
    </row>
    <row r="51" spans="1:1" ht="14.25" customHeight="1" x14ac:dyDescent="0.25">
      <c r="A51" s="16"/>
    </row>
    <row r="52" spans="1:1" ht="14.25" customHeight="1" x14ac:dyDescent="0.25">
      <c r="A52" s="16"/>
    </row>
    <row r="53" spans="1:1" ht="14.25" customHeight="1" x14ac:dyDescent="0.25">
      <c r="A53" s="16"/>
    </row>
    <row r="54" spans="1:1" ht="14.25" customHeight="1" x14ac:dyDescent="0.25">
      <c r="A54" s="16"/>
    </row>
    <row r="55" spans="1:1" ht="14.25" customHeight="1" x14ac:dyDescent="0.25">
      <c r="A55" s="16"/>
    </row>
    <row r="56" spans="1:1" ht="14.25" customHeight="1" x14ac:dyDescent="0.25">
      <c r="A56" s="16"/>
    </row>
    <row r="57" spans="1:1" ht="14.25" customHeight="1" x14ac:dyDescent="0.25">
      <c r="A57" s="16"/>
    </row>
    <row r="58" spans="1:1" ht="14.25" customHeight="1" x14ac:dyDescent="0.25">
      <c r="A58" s="16"/>
    </row>
    <row r="59" spans="1:1" ht="14.25" customHeight="1" x14ac:dyDescent="0.25">
      <c r="A59" s="16"/>
    </row>
    <row r="60" spans="1:1" ht="14.25" customHeight="1" x14ac:dyDescent="0.25">
      <c r="A60" s="16"/>
    </row>
    <row r="61" spans="1:1" ht="14.25" customHeight="1" x14ac:dyDescent="0.25">
      <c r="A61" s="16"/>
    </row>
    <row r="62" spans="1:1" ht="14.25" customHeight="1" x14ac:dyDescent="0.25">
      <c r="A62" s="16"/>
    </row>
    <row r="63" spans="1:1" ht="14.25" customHeight="1" x14ac:dyDescent="0.25">
      <c r="A63" s="16"/>
    </row>
    <row r="64" spans="1:1" ht="14.25" customHeight="1" x14ac:dyDescent="0.25">
      <c r="A64" s="16"/>
    </row>
    <row r="65" spans="1:1" ht="14.25" customHeight="1" x14ac:dyDescent="0.25">
      <c r="A65" s="16"/>
    </row>
    <row r="66" spans="1:1" ht="14.25" customHeight="1" x14ac:dyDescent="0.25">
      <c r="A66" s="16"/>
    </row>
    <row r="67" spans="1:1" ht="14.25" customHeight="1" x14ac:dyDescent="0.25">
      <c r="A67" s="16"/>
    </row>
    <row r="68" spans="1:1" ht="14.25" customHeight="1" x14ac:dyDescent="0.25">
      <c r="A68" s="16"/>
    </row>
    <row r="69" spans="1:1" ht="14.25" customHeight="1" x14ac:dyDescent="0.25">
      <c r="A69" s="16"/>
    </row>
    <row r="70" spans="1:1" ht="14.25" customHeight="1" x14ac:dyDescent="0.25">
      <c r="A70" s="16"/>
    </row>
    <row r="71" spans="1:1" ht="14.25" customHeight="1" x14ac:dyDescent="0.25">
      <c r="A71" s="16"/>
    </row>
    <row r="72" spans="1:1" ht="14.25" customHeight="1" x14ac:dyDescent="0.25">
      <c r="A72" s="16"/>
    </row>
    <row r="73" spans="1:1" ht="14.25" customHeight="1" x14ac:dyDescent="0.25">
      <c r="A73" s="16"/>
    </row>
    <row r="74" spans="1:1" ht="14.25" customHeight="1" x14ac:dyDescent="0.25">
      <c r="A74" s="16"/>
    </row>
    <row r="75" spans="1:1" ht="14.25" customHeight="1" x14ac:dyDescent="0.25">
      <c r="A75" s="16"/>
    </row>
    <row r="76" spans="1:1" ht="14.25" customHeight="1" x14ac:dyDescent="0.25">
      <c r="A76" s="16"/>
    </row>
    <row r="77" spans="1:1" ht="14.25" customHeight="1" x14ac:dyDescent="0.25">
      <c r="A77" s="16"/>
    </row>
    <row r="78" spans="1:1" ht="14.25" customHeight="1" x14ac:dyDescent="0.25">
      <c r="A78" s="16"/>
    </row>
    <row r="79" spans="1:1" ht="14.25" customHeight="1" x14ac:dyDescent="0.25">
      <c r="A79" s="16"/>
    </row>
    <row r="80" spans="1:1" ht="14.25" customHeight="1" x14ac:dyDescent="0.25">
      <c r="A80" s="16"/>
    </row>
    <row r="81" spans="1:1" ht="14.25" customHeight="1" x14ac:dyDescent="0.25">
      <c r="A81" s="16"/>
    </row>
    <row r="82" spans="1:1" ht="14.25" customHeight="1" x14ac:dyDescent="0.25">
      <c r="A82" s="16"/>
    </row>
    <row r="83" spans="1:1" ht="14.25" customHeight="1" x14ac:dyDescent="0.25">
      <c r="A83" s="16"/>
    </row>
    <row r="84" spans="1:1" ht="14.25" customHeight="1" x14ac:dyDescent="0.25">
      <c r="A84" s="16"/>
    </row>
    <row r="85" spans="1:1" ht="14.25" customHeight="1" x14ac:dyDescent="0.25">
      <c r="A85" s="16"/>
    </row>
    <row r="86" spans="1:1" ht="14.25" customHeight="1" x14ac:dyDescent="0.25">
      <c r="A86" s="16"/>
    </row>
    <row r="87" spans="1:1" ht="14.25" customHeight="1" x14ac:dyDescent="0.25">
      <c r="A87" s="16"/>
    </row>
    <row r="88" spans="1:1" ht="14.25" customHeight="1" x14ac:dyDescent="0.25">
      <c r="A88" s="16"/>
    </row>
    <row r="89" spans="1:1" ht="14.25" customHeight="1" x14ac:dyDescent="0.25">
      <c r="A89" s="16"/>
    </row>
    <row r="90" spans="1:1" ht="14.25" customHeight="1" x14ac:dyDescent="0.25">
      <c r="A90" s="16"/>
    </row>
    <row r="91" spans="1:1" ht="14.25" customHeight="1" x14ac:dyDescent="0.25">
      <c r="A91" s="16"/>
    </row>
    <row r="92" spans="1:1" ht="14.25" customHeight="1" x14ac:dyDescent="0.25">
      <c r="A92" s="16"/>
    </row>
    <row r="93" spans="1:1" ht="14.25" customHeight="1" x14ac:dyDescent="0.25">
      <c r="A93" s="16"/>
    </row>
    <row r="94" spans="1:1" ht="14.25" customHeight="1" x14ac:dyDescent="0.25">
      <c r="A94" s="16"/>
    </row>
    <row r="95" spans="1:1" ht="14.25" customHeight="1" x14ac:dyDescent="0.25">
      <c r="A95" s="16"/>
    </row>
    <row r="96" spans="1:1" ht="14.25" customHeight="1" x14ac:dyDescent="0.25">
      <c r="A96" s="16"/>
    </row>
    <row r="97" spans="1:1" ht="14.25" customHeight="1" x14ac:dyDescent="0.25">
      <c r="A97" s="16"/>
    </row>
    <row r="98" spans="1:1" ht="14.25" customHeight="1" x14ac:dyDescent="0.25">
      <c r="A98" s="16"/>
    </row>
    <row r="99" spans="1:1" ht="14.25" customHeight="1" x14ac:dyDescent="0.25">
      <c r="A99" s="16"/>
    </row>
    <row r="100" spans="1:1" ht="14.25" customHeight="1" x14ac:dyDescent="0.25">
      <c r="A100" s="16"/>
    </row>
    <row r="101" spans="1:1" ht="14.25" customHeight="1" x14ac:dyDescent="0.25">
      <c r="A101" s="16"/>
    </row>
    <row r="102" spans="1:1" ht="14.25" customHeight="1" x14ac:dyDescent="0.25">
      <c r="A102" s="16"/>
    </row>
    <row r="103" spans="1:1" ht="14.25" customHeight="1" x14ac:dyDescent="0.25">
      <c r="A103" s="16"/>
    </row>
    <row r="104" spans="1:1" ht="14.25" customHeight="1" x14ac:dyDescent="0.25">
      <c r="A104" s="16"/>
    </row>
    <row r="105" spans="1:1" ht="14.25" customHeight="1" x14ac:dyDescent="0.25">
      <c r="A105" s="16"/>
    </row>
    <row r="106" spans="1:1" ht="14.25" customHeight="1" x14ac:dyDescent="0.25">
      <c r="A106" s="16"/>
    </row>
    <row r="107" spans="1:1" ht="14.25" customHeight="1" x14ac:dyDescent="0.25">
      <c r="A107" s="16"/>
    </row>
    <row r="108" spans="1:1" ht="14.25" customHeight="1" x14ac:dyDescent="0.25">
      <c r="A108" s="16"/>
    </row>
    <row r="109" spans="1:1" ht="14.25" customHeight="1" x14ac:dyDescent="0.25">
      <c r="A109" s="16"/>
    </row>
    <row r="110" spans="1:1" ht="14.25" customHeight="1" x14ac:dyDescent="0.25">
      <c r="A110" s="16"/>
    </row>
    <row r="111" spans="1:1" ht="14.25" customHeight="1" x14ac:dyDescent="0.25">
      <c r="A111" s="16"/>
    </row>
    <row r="112" spans="1:1" ht="14.25" customHeight="1" x14ac:dyDescent="0.25">
      <c r="A112" s="16"/>
    </row>
    <row r="113" spans="1:1" ht="14.25" customHeight="1" x14ac:dyDescent="0.25">
      <c r="A113" s="16"/>
    </row>
    <row r="114" spans="1:1" ht="14.25" customHeight="1" x14ac:dyDescent="0.25">
      <c r="A114" s="16"/>
    </row>
    <row r="115" spans="1:1" ht="14.25" customHeight="1" x14ac:dyDescent="0.25">
      <c r="A115" s="16"/>
    </row>
    <row r="116" spans="1:1" ht="14.25" customHeight="1" x14ac:dyDescent="0.25">
      <c r="A116" s="16"/>
    </row>
    <row r="117" spans="1:1" ht="14.25" customHeight="1" x14ac:dyDescent="0.25">
      <c r="A117" s="16"/>
    </row>
    <row r="118" spans="1:1" ht="14.25" customHeight="1" x14ac:dyDescent="0.25">
      <c r="A118" s="16"/>
    </row>
    <row r="119" spans="1:1" ht="14.25" customHeight="1" x14ac:dyDescent="0.25">
      <c r="A119" s="16"/>
    </row>
    <row r="120" spans="1:1" ht="14.25" customHeight="1" x14ac:dyDescent="0.25">
      <c r="A120" s="16"/>
    </row>
    <row r="121" spans="1:1" ht="14.25" customHeight="1" x14ac:dyDescent="0.25">
      <c r="A121" s="16"/>
    </row>
    <row r="122" spans="1:1" ht="14.25" customHeight="1" x14ac:dyDescent="0.25">
      <c r="A122" s="16"/>
    </row>
    <row r="123" spans="1:1" ht="14.25" customHeight="1" x14ac:dyDescent="0.25">
      <c r="A123" s="16"/>
    </row>
    <row r="124" spans="1:1" ht="14.25" customHeight="1" x14ac:dyDescent="0.25">
      <c r="A124" s="16"/>
    </row>
    <row r="125" spans="1:1" ht="14.25" customHeight="1" x14ac:dyDescent="0.25">
      <c r="A125" s="16"/>
    </row>
    <row r="126" spans="1:1" ht="14.25" customHeight="1" x14ac:dyDescent="0.25">
      <c r="A126" s="16"/>
    </row>
    <row r="127" spans="1:1" ht="14.25" customHeight="1" x14ac:dyDescent="0.25">
      <c r="A127" s="16"/>
    </row>
    <row r="128" spans="1:1" ht="14.25" customHeight="1" x14ac:dyDescent="0.25">
      <c r="A128" s="16"/>
    </row>
    <row r="129" spans="1:1" ht="14.25" customHeight="1" x14ac:dyDescent="0.25">
      <c r="A129" s="16"/>
    </row>
    <row r="130" spans="1:1" ht="14.25" customHeight="1" x14ac:dyDescent="0.25">
      <c r="A130" s="16"/>
    </row>
    <row r="131" spans="1:1" ht="14.25" customHeight="1" x14ac:dyDescent="0.25">
      <c r="A131" s="16"/>
    </row>
    <row r="132" spans="1:1" ht="14.25" customHeight="1" x14ac:dyDescent="0.25">
      <c r="A132" s="16"/>
    </row>
    <row r="133" spans="1:1" ht="14.25" customHeight="1" x14ac:dyDescent="0.25">
      <c r="A133" s="16"/>
    </row>
    <row r="134" spans="1:1" ht="14.25" customHeight="1" x14ac:dyDescent="0.25">
      <c r="A134" s="16"/>
    </row>
    <row r="135" spans="1:1" ht="14.25" customHeight="1" x14ac:dyDescent="0.25">
      <c r="A135" s="16"/>
    </row>
    <row r="136" spans="1:1" ht="14.25" customHeight="1" x14ac:dyDescent="0.25">
      <c r="A136" s="16"/>
    </row>
    <row r="137" spans="1:1" ht="14.25" customHeight="1" x14ac:dyDescent="0.25">
      <c r="A137" s="16"/>
    </row>
    <row r="138" spans="1:1" ht="14.25" customHeight="1" x14ac:dyDescent="0.25">
      <c r="A138" s="16"/>
    </row>
    <row r="139" spans="1:1" ht="14.25" customHeight="1" x14ac:dyDescent="0.25">
      <c r="A139" s="16"/>
    </row>
    <row r="140" spans="1:1" ht="14.25" customHeight="1" x14ac:dyDescent="0.25">
      <c r="A140" s="16"/>
    </row>
    <row r="141" spans="1:1" ht="14.25" customHeight="1" x14ac:dyDescent="0.25">
      <c r="A141" s="16"/>
    </row>
    <row r="142" spans="1:1" ht="14.25" customHeight="1" x14ac:dyDescent="0.25">
      <c r="A142" s="16"/>
    </row>
    <row r="143" spans="1:1" ht="14.25" customHeight="1" x14ac:dyDescent="0.25">
      <c r="A143" s="16"/>
    </row>
    <row r="144" spans="1:1" ht="14.25" customHeight="1" x14ac:dyDescent="0.25">
      <c r="A144" s="16"/>
    </row>
    <row r="145" spans="1:1" ht="14.25" customHeight="1" x14ac:dyDescent="0.25">
      <c r="A145" s="16"/>
    </row>
    <row r="146" spans="1:1" ht="14.25" customHeight="1" x14ac:dyDescent="0.25">
      <c r="A146" s="16"/>
    </row>
    <row r="147" spans="1:1" ht="14.25" customHeight="1" x14ac:dyDescent="0.25">
      <c r="A147" s="16"/>
    </row>
    <row r="148" spans="1:1" ht="14.25" customHeight="1" x14ac:dyDescent="0.25">
      <c r="A148" s="16"/>
    </row>
    <row r="149" spans="1:1" ht="14.25" customHeight="1" x14ac:dyDescent="0.25">
      <c r="A149" s="16"/>
    </row>
    <row r="150" spans="1:1" ht="14.25" customHeight="1" x14ac:dyDescent="0.25">
      <c r="A150" s="16"/>
    </row>
    <row r="151" spans="1:1" ht="14.25" customHeight="1" x14ac:dyDescent="0.25">
      <c r="A151" s="16"/>
    </row>
    <row r="152" spans="1:1" ht="14.25" customHeight="1" x14ac:dyDescent="0.25">
      <c r="A152" s="16"/>
    </row>
    <row r="153" spans="1:1" ht="14.25" customHeight="1" x14ac:dyDescent="0.25">
      <c r="A153" s="16"/>
    </row>
    <row r="154" spans="1:1" ht="14.25" customHeight="1" x14ac:dyDescent="0.25">
      <c r="A154" s="16"/>
    </row>
    <row r="155" spans="1:1" ht="14.25" customHeight="1" x14ac:dyDescent="0.25">
      <c r="A155" s="16"/>
    </row>
    <row r="156" spans="1:1" ht="14.25" customHeight="1" x14ac:dyDescent="0.25">
      <c r="A156" s="16"/>
    </row>
    <row r="157" spans="1:1" ht="14.25" customHeight="1" x14ac:dyDescent="0.25">
      <c r="A157" s="16"/>
    </row>
    <row r="158" spans="1:1" ht="14.25" customHeight="1" x14ac:dyDescent="0.25">
      <c r="A158" s="16"/>
    </row>
    <row r="159" spans="1:1" ht="14.25" customHeight="1" x14ac:dyDescent="0.25">
      <c r="A159" s="16"/>
    </row>
    <row r="160" spans="1:1" ht="14.25" customHeight="1" x14ac:dyDescent="0.25">
      <c r="A160" s="16"/>
    </row>
    <row r="161" spans="1:1" ht="14.25" customHeight="1" x14ac:dyDescent="0.25">
      <c r="A161" s="16"/>
    </row>
    <row r="162" spans="1:1" ht="14.25" customHeight="1" x14ac:dyDescent="0.25">
      <c r="A162" s="16"/>
    </row>
    <row r="163" spans="1:1" ht="14.25" customHeight="1" x14ac:dyDescent="0.25">
      <c r="A163" s="16"/>
    </row>
    <row r="164" spans="1:1" ht="14.25" customHeight="1" x14ac:dyDescent="0.25">
      <c r="A164" s="16"/>
    </row>
    <row r="165" spans="1:1" ht="14.25" customHeight="1" x14ac:dyDescent="0.25">
      <c r="A165" s="16"/>
    </row>
    <row r="166" spans="1:1" ht="14.25" customHeight="1" x14ac:dyDescent="0.25">
      <c r="A166" s="16"/>
    </row>
    <row r="167" spans="1:1" ht="14.25" customHeight="1" x14ac:dyDescent="0.25">
      <c r="A167" s="16"/>
    </row>
    <row r="168" spans="1:1" ht="14.25" customHeight="1" x14ac:dyDescent="0.25">
      <c r="A168" s="16"/>
    </row>
    <row r="169" spans="1:1" ht="14.25" customHeight="1" x14ac:dyDescent="0.25">
      <c r="A169" s="16"/>
    </row>
    <row r="170" spans="1:1" ht="14.25" customHeight="1" x14ac:dyDescent="0.25">
      <c r="A170" s="16"/>
    </row>
    <row r="171" spans="1:1" ht="14.25" customHeight="1" x14ac:dyDescent="0.25">
      <c r="A171" s="16"/>
    </row>
    <row r="172" spans="1:1" ht="14.25" customHeight="1" x14ac:dyDescent="0.25">
      <c r="A172" s="16"/>
    </row>
    <row r="173" spans="1:1" ht="14.25" customHeight="1" x14ac:dyDescent="0.25">
      <c r="A173" s="16"/>
    </row>
    <row r="174" spans="1:1" ht="14.25" customHeight="1" x14ac:dyDescent="0.25">
      <c r="A174" s="16"/>
    </row>
    <row r="175" spans="1:1" ht="14.25" customHeight="1" x14ac:dyDescent="0.25">
      <c r="A175" s="16"/>
    </row>
    <row r="176" spans="1:1" ht="14.25" customHeight="1" x14ac:dyDescent="0.25">
      <c r="A176" s="16"/>
    </row>
    <row r="177" spans="1:1" ht="14.25" customHeight="1" x14ac:dyDescent="0.25">
      <c r="A177" s="16"/>
    </row>
    <row r="178" spans="1:1" ht="14.25" customHeight="1" x14ac:dyDescent="0.25">
      <c r="A178" s="16"/>
    </row>
    <row r="179" spans="1:1" ht="14.25" customHeight="1" x14ac:dyDescent="0.25">
      <c r="A179" s="16"/>
    </row>
    <row r="180" spans="1:1" ht="14.25" customHeight="1" x14ac:dyDescent="0.25">
      <c r="A180" s="16"/>
    </row>
    <row r="181" spans="1:1" ht="14.25" customHeight="1" x14ac:dyDescent="0.25">
      <c r="A181" s="16"/>
    </row>
    <row r="182" spans="1:1" ht="14.25" customHeight="1" x14ac:dyDescent="0.25">
      <c r="A182" s="16"/>
    </row>
    <row r="183" spans="1:1" ht="14.25" customHeight="1" x14ac:dyDescent="0.25">
      <c r="A183" s="16"/>
    </row>
    <row r="184" spans="1:1" ht="14.25" customHeight="1" x14ac:dyDescent="0.25">
      <c r="A184" s="16"/>
    </row>
    <row r="185" spans="1:1" ht="14.25" customHeight="1" x14ac:dyDescent="0.25">
      <c r="A185" s="16"/>
    </row>
    <row r="186" spans="1:1" ht="14.25" customHeight="1" x14ac:dyDescent="0.25">
      <c r="A186" s="16"/>
    </row>
    <row r="187" spans="1:1" ht="14.25" customHeight="1" x14ac:dyDescent="0.25">
      <c r="A187" s="16"/>
    </row>
    <row r="188" spans="1:1" ht="14.25" customHeight="1" x14ac:dyDescent="0.25">
      <c r="A188" s="16"/>
    </row>
    <row r="189" spans="1:1" ht="14.25" customHeight="1" x14ac:dyDescent="0.25">
      <c r="A189" s="16"/>
    </row>
    <row r="190" spans="1:1" ht="14.25" customHeight="1" x14ac:dyDescent="0.25">
      <c r="A190" s="16"/>
    </row>
    <row r="191" spans="1:1" ht="14.25" customHeight="1" x14ac:dyDescent="0.25">
      <c r="A191" s="16"/>
    </row>
    <row r="192" spans="1:1" ht="14.25" customHeight="1" x14ac:dyDescent="0.25">
      <c r="A192" s="16"/>
    </row>
    <row r="193" spans="1:1" ht="14.25" customHeight="1" x14ac:dyDescent="0.25">
      <c r="A193" s="16"/>
    </row>
    <row r="194" spans="1:1" ht="14.25" customHeight="1" x14ac:dyDescent="0.25">
      <c r="A194" s="16"/>
    </row>
    <row r="195" spans="1:1" ht="14.25" customHeight="1" x14ac:dyDescent="0.25">
      <c r="A195" s="16"/>
    </row>
    <row r="196" spans="1:1" ht="14.25" customHeight="1" x14ac:dyDescent="0.25">
      <c r="A196" s="16"/>
    </row>
    <row r="197" spans="1:1" ht="14.25" customHeight="1" x14ac:dyDescent="0.25">
      <c r="A197" s="16"/>
    </row>
    <row r="198" spans="1:1" ht="14.25" customHeight="1" x14ac:dyDescent="0.25">
      <c r="A198" s="16"/>
    </row>
    <row r="199" spans="1:1" ht="14.25" customHeight="1" x14ac:dyDescent="0.25">
      <c r="A199" s="16"/>
    </row>
    <row r="200" spans="1:1" ht="14.25" customHeight="1" x14ac:dyDescent="0.25">
      <c r="A200" s="16"/>
    </row>
    <row r="201" spans="1:1" ht="14.25" customHeight="1" x14ac:dyDescent="0.25">
      <c r="A201" s="16"/>
    </row>
    <row r="202" spans="1:1" ht="14.25" customHeight="1" x14ac:dyDescent="0.25">
      <c r="A202" s="16"/>
    </row>
    <row r="203" spans="1:1" ht="14.25" customHeight="1" x14ac:dyDescent="0.25">
      <c r="A203" s="16"/>
    </row>
    <row r="204" spans="1:1" ht="14.25" customHeight="1" x14ac:dyDescent="0.25">
      <c r="A204" s="16"/>
    </row>
    <row r="205" spans="1:1" ht="14.25" customHeight="1" x14ac:dyDescent="0.25">
      <c r="A205" s="16"/>
    </row>
    <row r="206" spans="1:1" ht="14.25" customHeight="1" x14ac:dyDescent="0.25">
      <c r="A206" s="16"/>
    </row>
    <row r="207" spans="1:1" ht="14.25" customHeight="1" x14ac:dyDescent="0.25">
      <c r="A207" s="16"/>
    </row>
    <row r="208" spans="1:1" ht="14.25" customHeight="1" x14ac:dyDescent="0.25">
      <c r="A208" s="16"/>
    </row>
    <row r="209" spans="1:1" ht="14.25" customHeight="1" x14ac:dyDescent="0.25">
      <c r="A209" s="16"/>
    </row>
    <row r="210" spans="1:1" ht="14.25" customHeight="1" x14ac:dyDescent="0.25">
      <c r="A210" s="16"/>
    </row>
    <row r="211" spans="1:1" ht="14.25" customHeight="1" x14ac:dyDescent="0.25">
      <c r="A211" s="16"/>
    </row>
    <row r="212" spans="1:1" ht="14.25" customHeight="1" x14ac:dyDescent="0.25">
      <c r="A212" s="16"/>
    </row>
    <row r="213" spans="1:1" ht="14.25" customHeight="1" x14ac:dyDescent="0.25">
      <c r="A213" s="16"/>
    </row>
    <row r="214" spans="1:1" ht="14.25" customHeight="1" x14ac:dyDescent="0.25">
      <c r="A214" s="16"/>
    </row>
    <row r="215" spans="1:1" ht="14.25" customHeight="1" x14ac:dyDescent="0.25">
      <c r="A215" s="16"/>
    </row>
    <row r="216" spans="1:1" ht="14.25" customHeight="1" x14ac:dyDescent="0.25">
      <c r="A216" s="16"/>
    </row>
    <row r="217" spans="1:1" ht="14.25" customHeight="1" x14ac:dyDescent="0.25">
      <c r="A217" s="16"/>
    </row>
    <row r="218" spans="1:1" ht="14.25" customHeight="1" x14ac:dyDescent="0.25">
      <c r="A218" s="16"/>
    </row>
    <row r="219" spans="1:1" ht="14.25" customHeight="1" x14ac:dyDescent="0.25">
      <c r="A219" s="16"/>
    </row>
    <row r="220" spans="1:1" ht="14.25" customHeight="1" x14ac:dyDescent="0.25">
      <c r="A220" s="16"/>
    </row>
    <row r="221" spans="1:1" ht="14.25" customHeight="1" x14ac:dyDescent="0.25">
      <c r="A221" s="16"/>
    </row>
    <row r="222" spans="1:1" ht="14.25" customHeight="1" x14ac:dyDescent="0.25">
      <c r="A222" s="16"/>
    </row>
    <row r="223" spans="1:1" ht="14.25" customHeight="1" x14ac:dyDescent="0.25">
      <c r="A223" s="16"/>
    </row>
    <row r="224" spans="1:1" ht="14.25" customHeight="1" x14ac:dyDescent="0.25">
      <c r="A224" s="16"/>
    </row>
    <row r="225" spans="1:1" ht="14.25" customHeight="1" x14ac:dyDescent="0.25">
      <c r="A225" s="16"/>
    </row>
    <row r="226" spans="1:1" ht="14.25" customHeight="1" x14ac:dyDescent="0.25">
      <c r="A226" s="16"/>
    </row>
    <row r="227" spans="1:1" ht="14.25" customHeight="1" x14ac:dyDescent="0.25">
      <c r="A227" s="16"/>
    </row>
    <row r="228" spans="1:1" ht="14.25" customHeight="1" x14ac:dyDescent="0.25">
      <c r="A228" s="16"/>
    </row>
    <row r="229" spans="1:1" ht="14.25" customHeight="1" x14ac:dyDescent="0.25">
      <c r="A229" s="16"/>
    </row>
    <row r="230" spans="1:1" ht="14.25" customHeight="1" x14ac:dyDescent="0.25">
      <c r="A230" s="16"/>
    </row>
    <row r="231" spans="1:1" ht="14.25" customHeight="1" x14ac:dyDescent="0.25">
      <c r="A231" s="16"/>
    </row>
    <row r="232" spans="1:1" ht="14.25" customHeight="1" x14ac:dyDescent="0.25">
      <c r="A232" s="16"/>
    </row>
    <row r="233" spans="1:1" ht="14.25" customHeight="1" x14ac:dyDescent="0.25">
      <c r="A233" s="16"/>
    </row>
    <row r="234" spans="1:1" ht="14.25" customHeight="1" x14ac:dyDescent="0.25">
      <c r="A234" s="16"/>
    </row>
    <row r="235" spans="1:1" ht="14.25" customHeight="1" x14ac:dyDescent="0.25">
      <c r="A235" s="16"/>
    </row>
    <row r="236" spans="1:1" ht="14.25" customHeight="1" x14ac:dyDescent="0.25">
      <c r="A236" s="16"/>
    </row>
    <row r="237" spans="1:1" ht="14.25" customHeight="1" x14ac:dyDescent="0.25">
      <c r="A237" s="16"/>
    </row>
    <row r="238" spans="1:1" ht="14.25" customHeight="1" x14ac:dyDescent="0.25">
      <c r="A238" s="16"/>
    </row>
    <row r="239" spans="1:1" ht="14.25" customHeight="1" x14ac:dyDescent="0.25">
      <c r="A239" s="16"/>
    </row>
    <row r="240" spans="1:1" ht="14.25" customHeight="1" x14ac:dyDescent="0.25">
      <c r="A240" s="16"/>
    </row>
    <row r="241" spans="1:1" ht="14.25" customHeight="1" x14ac:dyDescent="0.25">
      <c r="A241" s="16"/>
    </row>
    <row r="242" spans="1:1" ht="14.25" customHeight="1" x14ac:dyDescent="0.25">
      <c r="A242" s="16"/>
    </row>
    <row r="243" spans="1:1" ht="14.25" customHeight="1" x14ac:dyDescent="0.25">
      <c r="A243" s="16"/>
    </row>
    <row r="244" spans="1:1" ht="14.25" customHeight="1" x14ac:dyDescent="0.25">
      <c r="A244" s="16"/>
    </row>
    <row r="245" spans="1:1" ht="14.25" customHeight="1" x14ac:dyDescent="0.25">
      <c r="A245" s="16"/>
    </row>
    <row r="246" spans="1:1" ht="14.25" customHeight="1" x14ac:dyDescent="0.25">
      <c r="A246" s="16"/>
    </row>
    <row r="247" spans="1:1" ht="14.25" customHeight="1" x14ac:dyDescent="0.25">
      <c r="A247" s="16"/>
    </row>
    <row r="248" spans="1:1" ht="14.25" customHeight="1" x14ac:dyDescent="0.25">
      <c r="A248" s="16"/>
    </row>
    <row r="249" spans="1:1" ht="14.25" customHeight="1" x14ac:dyDescent="0.25">
      <c r="A249" s="16"/>
    </row>
    <row r="250" spans="1:1" ht="14.25" customHeight="1" x14ac:dyDescent="0.25">
      <c r="A250" s="16"/>
    </row>
    <row r="251" spans="1:1" ht="14.25" customHeight="1" x14ac:dyDescent="0.25">
      <c r="A251" s="16"/>
    </row>
    <row r="252" spans="1:1" ht="14.25" customHeight="1" x14ac:dyDescent="0.25">
      <c r="A252" s="16"/>
    </row>
    <row r="253" spans="1:1" ht="14.25" customHeight="1" x14ac:dyDescent="0.25">
      <c r="A253" s="16"/>
    </row>
    <row r="254" spans="1:1" ht="14.25" customHeight="1" x14ac:dyDescent="0.25">
      <c r="A254" s="16"/>
    </row>
    <row r="255" spans="1:1" ht="14.25" customHeight="1" x14ac:dyDescent="0.25">
      <c r="A255" s="16"/>
    </row>
    <row r="256" spans="1:1" ht="14.25" customHeight="1" x14ac:dyDescent="0.25">
      <c r="A256" s="16"/>
    </row>
    <row r="257" spans="1:1" ht="14.25" customHeight="1" x14ac:dyDescent="0.25">
      <c r="A257" s="16"/>
    </row>
    <row r="258" spans="1:1" ht="14.25" customHeight="1" x14ac:dyDescent="0.25">
      <c r="A258" s="16"/>
    </row>
    <row r="259" spans="1:1" ht="14.25" customHeight="1" x14ac:dyDescent="0.25">
      <c r="A259" s="16"/>
    </row>
    <row r="260" spans="1:1" ht="14.25" customHeight="1" x14ac:dyDescent="0.25">
      <c r="A260" s="16"/>
    </row>
    <row r="261" spans="1:1" ht="14.25" customHeight="1" x14ac:dyDescent="0.25">
      <c r="A261" s="16"/>
    </row>
    <row r="262" spans="1:1" ht="14.25" customHeight="1" x14ac:dyDescent="0.25">
      <c r="A262" s="16"/>
    </row>
    <row r="263" spans="1:1" ht="14.25" customHeight="1" x14ac:dyDescent="0.25">
      <c r="A263" s="16"/>
    </row>
    <row r="264" spans="1:1" ht="14.25" customHeight="1" x14ac:dyDescent="0.25">
      <c r="A264" s="16"/>
    </row>
    <row r="265" spans="1:1" ht="14.25" customHeight="1" x14ac:dyDescent="0.25">
      <c r="A265" s="16"/>
    </row>
    <row r="266" spans="1:1" ht="14.25" customHeight="1" x14ac:dyDescent="0.25">
      <c r="A266" s="16"/>
    </row>
    <row r="267" spans="1:1" ht="14.25" customHeight="1" x14ac:dyDescent="0.25">
      <c r="A267" s="16"/>
    </row>
    <row r="268" spans="1:1" ht="14.25" customHeight="1" x14ac:dyDescent="0.25">
      <c r="A268" s="16"/>
    </row>
    <row r="269" spans="1:1" ht="14.25" customHeight="1" x14ac:dyDescent="0.25">
      <c r="A269" s="16"/>
    </row>
    <row r="270" spans="1:1" ht="14.25" customHeight="1" x14ac:dyDescent="0.25">
      <c r="A270" s="16"/>
    </row>
    <row r="271" spans="1:1" ht="14.25" customHeight="1" x14ac:dyDescent="0.25">
      <c r="A271" s="16"/>
    </row>
    <row r="272" spans="1:1" ht="14.25" customHeight="1" x14ac:dyDescent="0.25">
      <c r="A272" s="16"/>
    </row>
    <row r="273" spans="1:1" ht="14.25" customHeight="1" x14ac:dyDescent="0.25">
      <c r="A273" s="16"/>
    </row>
    <row r="274" spans="1:1" ht="14.25" customHeight="1" x14ac:dyDescent="0.25">
      <c r="A274" s="16"/>
    </row>
    <row r="275" spans="1:1" ht="14.25" customHeight="1" x14ac:dyDescent="0.25">
      <c r="A275" s="16"/>
    </row>
    <row r="276" spans="1:1" ht="14.25" customHeight="1" x14ac:dyDescent="0.25">
      <c r="A276" s="16"/>
    </row>
    <row r="277" spans="1:1" ht="14.25" customHeight="1" x14ac:dyDescent="0.25">
      <c r="A277" s="16"/>
    </row>
    <row r="278" spans="1:1" ht="14.25" customHeight="1" x14ac:dyDescent="0.25">
      <c r="A278" s="16"/>
    </row>
    <row r="279" spans="1:1" ht="14.25" customHeight="1" x14ac:dyDescent="0.25">
      <c r="A279" s="16"/>
    </row>
    <row r="280" spans="1:1" ht="14.25" customHeight="1" x14ac:dyDescent="0.25">
      <c r="A280" s="16"/>
    </row>
    <row r="281" spans="1:1" ht="14.25" customHeight="1" x14ac:dyDescent="0.25">
      <c r="A281" s="16"/>
    </row>
    <row r="282" spans="1:1" ht="14.25" customHeight="1" x14ac:dyDescent="0.25">
      <c r="A282" s="16"/>
    </row>
    <row r="283" spans="1:1" ht="14.25" customHeight="1" x14ac:dyDescent="0.25">
      <c r="A283" s="16"/>
    </row>
    <row r="284" spans="1:1" ht="14.25" customHeight="1" x14ac:dyDescent="0.25">
      <c r="A284" s="16"/>
    </row>
    <row r="285" spans="1:1" ht="14.25" customHeight="1" x14ac:dyDescent="0.25">
      <c r="A285" s="16"/>
    </row>
    <row r="286" spans="1:1" ht="14.25" customHeight="1" x14ac:dyDescent="0.25">
      <c r="A286" s="16"/>
    </row>
    <row r="287" spans="1:1" ht="14.25" customHeight="1" x14ac:dyDescent="0.25">
      <c r="A287" s="16"/>
    </row>
    <row r="288" spans="1:1" ht="14.25" customHeight="1" x14ac:dyDescent="0.25">
      <c r="A288" s="16"/>
    </row>
    <row r="289" spans="1:1" ht="14.25" customHeight="1" x14ac:dyDescent="0.25">
      <c r="A289" s="16"/>
    </row>
    <row r="290" spans="1:1" ht="14.25" customHeight="1" x14ac:dyDescent="0.25">
      <c r="A290" s="16"/>
    </row>
    <row r="291" spans="1:1" ht="14.25" customHeight="1" x14ac:dyDescent="0.25">
      <c r="A291" s="16"/>
    </row>
    <row r="292" spans="1:1" ht="14.25" customHeight="1" x14ac:dyDescent="0.25">
      <c r="A292" s="16"/>
    </row>
    <row r="293" spans="1:1" ht="14.25" customHeight="1" x14ac:dyDescent="0.25">
      <c r="A293" s="16"/>
    </row>
    <row r="294" spans="1:1" ht="14.25" customHeight="1" x14ac:dyDescent="0.25">
      <c r="A294" s="16"/>
    </row>
    <row r="295" spans="1:1" ht="14.25" customHeight="1" x14ac:dyDescent="0.25">
      <c r="A295" s="16"/>
    </row>
    <row r="296" spans="1:1" ht="14.25" customHeight="1" x14ac:dyDescent="0.25">
      <c r="A296" s="16"/>
    </row>
    <row r="297" spans="1:1" ht="14.25" customHeight="1" x14ac:dyDescent="0.25">
      <c r="A297" s="16"/>
    </row>
    <row r="298" spans="1:1" ht="14.25" customHeight="1" x14ac:dyDescent="0.25">
      <c r="A298" s="16"/>
    </row>
    <row r="299" spans="1:1" ht="14.25" customHeight="1" x14ac:dyDescent="0.25">
      <c r="A299" s="16"/>
    </row>
    <row r="300" spans="1:1" ht="14.25" customHeight="1" x14ac:dyDescent="0.25">
      <c r="A300" s="16"/>
    </row>
    <row r="301" spans="1:1" ht="14.25" customHeight="1" x14ac:dyDescent="0.25">
      <c r="A301" s="16"/>
    </row>
    <row r="302" spans="1:1" ht="14.25" customHeight="1" x14ac:dyDescent="0.25">
      <c r="A302" s="16"/>
    </row>
    <row r="303" spans="1:1" ht="14.25" customHeight="1" x14ac:dyDescent="0.25">
      <c r="A303" s="16"/>
    </row>
    <row r="304" spans="1:1" ht="14.25" customHeight="1" x14ac:dyDescent="0.25">
      <c r="A304" s="16"/>
    </row>
    <row r="305" spans="1:1" ht="14.25" customHeight="1" x14ac:dyDescent="0.25">
      <c r="A305" s="16"/>
    </row>
    <row r="306" spans="1:1" ht="14.25" customHeight="1" x14ac:dyDescent="0.25">
      <c r="A306" s="16"/>
    </row>
    <row r="307" spans="1:1" ht="14.25" customHeight="1" x14ac:dyDescent="0.25">
      <c r="A307" s="16"/>
    </row>
    <row r="308" spans="1:1" ht="14.25" customHeight="1" x14ac:dyDescent="0.25">
      <c r="A308" s="16"/>
    </row>
    <row r="309" spans="1:1" ht="14.25" customHeight="1" x14ac:dyDescent="0.25">
      <c r="A309" s="16"/>
    </row>
    <row r="310" spans="1:1" ht="14.25" customHeight="1" x14ac:dyDescent="0.25">
      <c r="A310" s="16"/>
    </row>
    <row r="311" spans="1:1" ht="14.25" customHeight="1" x14ac:dyDescent="0.25">
      <c r="A311" s="16"/>
    </row>
    <row r="312" spans="1:1" ht="14.25" customHeight="1" x14ac:dyDescent="0.25">
      <c r="A312" s="16"/>
    </row>
    <row r="313" spans="1:1" ht="14.25" customHeight="1" x14ac:dyDescent="0.25">
      <c r="A313" s="16"/>
    </row>
    <row r="314" spans="1:1" ht="14.25" customHeight="1" x14ac:dyDescent="0.25">
      <c r="A314" s="16"/>
    </row>
    <row r="315" spans="1:1" ht="14.25" customHeight="1" x14ac:dyDescent="0.25">
      <c r="A315" s="16"/>
    </row>
    <row r="316" spans="1:1" ht="14.25" customHeight="1" x14ac:dyDescent="0.25">
      <c r="A316" s="16"/>
    </row>
    <row r="317" spans="1:1" ht="14.25" customHeight="1" x14ac:dyDescent="0.25">
      <c r="A317" s="16"/>
    </row>
    <row r="318" spans="1:1" ht="14.25" customHeight="1" x14ac:dyDescent="0.25">
      <c r="A318" s="16"/>
    </row>
    <row r="319" spans="1:1" ht="14.25" customHeight="1" x14ac:dyDescent="0.25">
      <c r="A319" s="16"/>
    </row>
    <row r="320" spans="1:1" ht="14.25" customHeight="1" x14ac:dyDescent="0.25">
      <c r="A320" s="16"/>
    </row>
    <row r="321" spans="1:1" ht="14.25" customHeight="1" x14ac:dyDescent="0.25">
      <c r="A321" s="16"/>
    </row>
    <row r="322" spans="1:1" ht="14.25" customHeight="1" x14ac:dyDescent="0.25">
      <c r="A322" s="16"/>
    </row>
    <row r="323" spans="1:1" ht="14.25" customHeight="1" x14ac:dyDescent="0.25">
      <c r="A323" s="16"/>
    </row>
    <row r="324" spans="1:1" ht="14.25" customHeight="1" x14ac:dyDescent="0.25">
      <c r="A324" s="16"/>
    </row>
    <row r="325" spans="1:1" ht="14.25" customHeight="1" x14ac:dyDescent="0.25">
      <c r="A325" s="16"/>
    </row>
    <row r="326" spans="1:1" ht="14.25" customHeight="1" x14ac:dyDescent="0.25">
      <c r="A326" s="16"/>
    </row>
    <row r="327" spans="1:1" ht="14.25" customHeight="1" x14ac:dyDescent="0.25">
      <c r="A327" s="16"/>
    </row>
    <row r="328" spans="1:1" ht="14.25" customHeight="1" x14ac:dyDescent="0.25">
      <c r="A328" s="16"/>
    </row>
    <row r="329" spans="1:1" ht="14.25" customHeight="1" x14ac:dyDescent="0.25">
      <c r="A329" s="16"/>
    </row>
    <row r="330" spans="1:1" ht="14.25" customHeight="1" x14ac:dyDescent="0.25">
      <c r="A330" s="16"/>
    </row>
    <row r="331" spans="1:1" ht="14.25" customHeight="1" x14ac:dyDescent="0.25">
      <c r="A331" s="16"/>
    </row>
    <row r="332" spans="1:1" ht="14.25" customHeight="1" x14ac:dyDescent="0.25">
      <c r="A332" s="16"/>
    </row>
    <row r="333" spans="1:1" ht="14.25" customHeight="1" x14ac:dyDescent="0.25">
      <c r="A333" s="16"/>
    </row>
    <row r="334" spans="1:1" ht="14.25" customHeight="1" x14ac:dyDescent="0.25">
      <c r="A334" s="16"/>
    </row>
    <row r="335" spans="1:1" ht="14.25" customHeight="1" x14ac:dyDescent="0.25">
      <c r="A335" s="16"/>
    </row>
    <row r="336" spans="1:1" ht="14.25" customHeight="1" x14ac:dyDescent="0.25">
      <c r="A336" s="16"/>
    </row>
    <row r="337" spans="1:1" ht="14.25" customHeight="1" x14ac:dyDescent="0.25">
      <c r="A337" s="16"/>
    </row>
    <row r="338" spans="1:1" ht="14.25" customHeight="1" x14ac:dyDescent="0.25">
      <c r="A338" s="16"/>
    </row>
    <row r="339" spans="1:1" ht="14.25" customHeight="1" x14ac:dyDescent="0.25">
      <c r="A339" s="16"/>
    </row>
    <row r="340" spans="1:1" ht="14.25" customHeight="1" x14ac:dyDescent="0.25">
      <c r="A340" s="16"/>
    </row>
    <row r="341" spans="1:1" ht="14.25" customHeight="1" x14ac:dyDescent="0.25">
      <c r="A341" s="16"/>
    </row>
    <row r="342" spans="1:1" ht="14.25" customHeight="1" x14ac:dyDescent="0.25">
      <c r="A342" s="16"/>
    </row>
    <row r="343" spans="1:1" ht="14.25" customHeight="1" x14ac:dyDescent="0.25">
      <c r="A343" s="16"/>
    </row>
    <row r="344" spans="1:1" ht="14.25" customHeight="1" x14ac:dyDescent="0.25">
      <c r="A344" s="16"/>
    </row>
    <row r="345" spans="1:1" ht="14.25" customHeight="1" x14ac:dyDescent="0.25">
      <c r="A345" s="16"/>
    </row>
    <row r="346" spans="1:1" ht="14.25" customHeight="1" x14ac:dyDescent="0.25">
      <c r="A346" s="16"/>
    </row>
    <row r="347" spans="1:1" ht="14.25" customHeight="1" x14ac:dyDescent="0.25">
      <c r="A347" s="16"/>
    </row>
    <row r="348" spans="1:1" ht="14.25" customHeight="1" x14ac:dyDescent="0.25">
      <c r="A348" s="16"/>
    </row>
    <row r="349" spans="1:1" ht="14.25" customHeight="1" x14ac:dyDescent="0.25">
      <c r="A349" s="16"/>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Dashboard</vt:lpstr>
      <vt:lpstr>History_Summary</vt:lpstr>
      <vt:lpstr>Pivot</vt:lpstr>
      <vt:lpstr>MixedFruit</vt:lpstr>
      <vt:lpstr>History Of MixedFruit</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2024-12-17T12:29:05Z</cp:lastPrinted>
  <dcterms:created xsi:type="dcterms:W3CDTF">2024-12-10T05:41:44Z</dcterms:created>
  <dcterms:modified xsi:type="dcterms:W3CDTF">2024-12-18T12:14:50Z</dcterms:modified>
</cp:coreProperties>
</file>