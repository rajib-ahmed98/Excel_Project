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1.xml" ContentType="application/vnd.openxmlformats-officedocument.drawing+xml"/>
  <Override PartName="/xl/tables/table1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.shortcut-targets-by-id\1-4Xe7Z4Xq8SnKX4snWQi7yshyb96ImQT\Combine Work\Zobaeer Shuvo\Deeb21\"/>
    </mc:Choice>
  </mc:AlternateContent>
  <xr:revisionPtr revIDLastSave="0" documentId="13_ncr:1_{147E0E2C-74A7-4E28-BB5B-553CF405257B}" xr6:coauthVersionLast="47" xr6:coauthVersionMax="47" xr10:uidLastSave="{00000000-0000-0000-0000-000000000000}"/>
  <bookViews>
    <workbookView xWindow="-28920" yWindow="-120" windowWidth="29040" windowHeight="15720" firstSheet="11" activeTab="18" xr2:uid="{00000000-000D-0000-FFFF-FFFF00000000}"/>
  </bookViews>
  <sheets>
    <sheet name="album 1" sheetId="1" state="hidden" r:id="rId1"/>
    <sheet name="album 2" sheetId="2" state="hidden" r:id="rId2"/>
    <sheet name="album 3" sheetId="3" state="hidden" r:id="rId3"/>
    <sheet name="album 4" sheetId="4" state="hidden" r:id="rId4"/>
    <sheet name="album 5" sheetId="5" state="hidden" r:id="rId5"/>
    <sheet name="album 6" sheetId="7" state="hidden" r:id="rId6"/>
    <sheet name="album 7" sheetId="8" state="hidden" r:id="rId7"/>
    <sheet name="all albums" sheetId="9" state="hidden" r:id="rId8"/>
    <sheet name="Sheet1" sheetId="11" state="hidden" r:id="rId9"/>
    <sheet name="abc" sheetId="10" state="hidden" r:id="rId10"/>
    <sheet name="Source" sheetId="12" state="hidden" r:id="rId11"/>
    <sheet name="1" sheetId="21" r:id="rId12"/>
    <sheet name="2" sheetId="20" r:id="rId13"/>
    <sheet name="3" sheetId="19" r:id="rId14"/>
    <sheet name="4" sheetId="18" r:id="rId15"/>
    <sheet name="5" sheetId="17" r:id="rId16"/>
    <sheet name="6" sheetId="16" r:id="rId17"/>
    <sheet name="7" sheetId="15" r:id="rId18"/>
    <sheet name="Data" sheetId="13" r:id="rId19"/>
    <sheet name="Search Box" sheetId="27" r:id="rId20"/>
    <sheet name="8" sheetId="28" r:id="rId21"/>
    <sheet name="9" sheetId="29" r:id="rId22"/>
    <sheet name="Sheet2" sheetId="14" state="hidden" r:id="rId23"/>
  </sheets>
  <definedNames>
    <definedName name="_xlnm._FilterDatabase" localSheetId="11" hidden="1">'1'!$A$1:$E$1</definedName>
    <definedName name="_xleta.N" hidden="1" xlm="1">#NAME?</definedName>
    <definedName name="_xlnm.Print_Area" localSheetId="11">'1'!$A$1:$I$52</definedName>
    <definedName name="_xlnm.Print_Area" localSheetId="12">'2'!$A$1:$G$48</definedName>
    <definedName name="_xlnm.Print_Area" localSheetId="13">'3'!$A$1:$G$48</definedName>
    <definedName name="_xlnm.Print_Area" localSheetId="14">'4'!$A$1:$G$48</definedName>
    <definedName name="_xlnm.Print_Area" localSheetId="15">'5'!$A$1:$G$48</definedName>
    <definedName name="_xlnm.Print_Area" localSheetId="16">'6'!$A$1:$I$52</definedName>
    <definedName name="_xlnm.Print_Area" localSheetId="17">'7'!$A$1:$G$48</definedName>
    <definedName name="_xlnm.Print_Area" localSheetId="0">Table1[#All]</definedName>
    <definedName name="_xlnm.Print_Area" localSheetId="19">'Search Box'!$A$5:$E$160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29" l="1" a="1"/>
  <c r="A2" i="29" s="1"/>
  <c r="A2" i="28" a="1"/>
  <c r="A2" i="28" s="1"/>
  <c r="A2" i="15" a="1"/>
  <c r="A2" i="15" s="1"/>
  <c r="A2" i="16" a="1"/>
  <c r="A2" i="16" s="1"/>
  <c r="A2" i="17" a="1"/>
  <c r="A2" i="17" s="1"/>
  <c r="A2" i="18" a="1"/>
  <c r="A2" i="18" s="1"/>
  <c r="A2" i="19" a="1"/>
  <c r="A2" i="19" s="1"/>
  <c r="A2" i="20" a="1"/>
  <c r="A2" i="20" s="1"/>
  <c r="A2" i="21" a="1"/>
  <c r="A2" i="21" s="1"/>
  <c r="A6" i="27" a="1"/>
  <c r="A6" i="27" s="1"/>
  <c r="C6" i="14" a="1"/>
  <c r="C6" i="1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able8" description="Connection to the 'Table8' query in the workbook." type="5" refreshedVersion="8" background="1" saveData="1">
    <dbPr connection="Provider=Microsoft.Mashup.OleDb.1;Data Source=$Workbook$;Location=Table8;Extended Properties=&quot;&quot;" command="SELECT * FROM [Table8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<sst xmlns="http://schemas.openxmlformats.org/spreadsheetml/2006/main" count="948" uniqueCount="131">
  <si>
    <t xml:space="preserve">Country </t>
  </si>
  <si>
    <t>Start</t>
  </si>
  <si>
    <t>Ends</t>
  </si>
  <si>
    <t>Spain</t>
  </si>
  <si>
    <t>Full</t>
  </si>
  <si>
    <t>Ecuador</t>
  </si>
  <si>
    <t>Romania</t>
  </si>
  <si>
    <t xml:space="preserve">Canada </t>
  </si>
  <si>
    <t xml:space="preserve">Czechoslovakia </t>
  </si>
  <si>
    <t xml:space="preserve">India </t>
  </si>
  <si>
    <t xml:space="preserve">Turkey </t>
  </si>
  <si>
    <t>Panama</t>
  </si>
  <si>
    <t xml:space="preserve">South Africa </t>
  </si>
  <si>
    <t>Thailand</t>
  </si>
  <si>
    <t>Congo</t>
  </si>
  <si>
    <t>Ceylon</t>
  </si>
  <si>
    <t>Mozambique</t>
  </si>
  <si>
    <t xml:space="preserve">Philippines </t>
  </si>
  <si>
    <t>Rhodesia</t>
  </si>
  <si>
    <t>Belgium</t>
  </si>
  <si>
    <t>Mexico</t>
  </si>
  <si>
    <t>Chile</t>
  </si>
  <si>
    <t>End</t>
  </si>
  <si>
    <t>U.S.A</t>
  </si>
  <si>
    <t>Norway</t>
  </si>
  <si>
    <t>Greek</t>
  </si>
  <si>
    <t>Canada</t>
  </si>
  <si>
    <t>Colombia</t>
  </si>
  <si>
    <t>Korea</t>
  </si>
  <si>
    <t>Finland</t>
  </si>
  <si>
    <t>Senegal</t>
  </si>
  <si>
    <t>Cuba</t>
  </si>
  <si>
    <t>Nigeria</t>
  </si>
  <si>
    <t>Belgian</t>
  </si>
  <si>
    <t>Denmark</t>
  </si>
  <si>
    <t xml:space="preserve">Australia </t>
  </si>
  <si>
    <t>Nederland</t>
  </si>
  <si>
    <t>Liberia</t>
  </si>
  <si>
    <t>Germany</t>
  </si>
  <si>
    <t>Russian</t>
  </si>
  <si>
    <t>Belarus</t>
  </si>
  <si>
    <t>Ukraine</t>
  </si>
  <si>
    <t>Australia</t>
  </si>
  <si>
    <t>Poland</t>
  </si>
  <si>
    <t>Brazil</t>
  </si>
  <si>
    <t>Malaya</t>
  </si>
  <si>
    <t>Mongolia</t>
  </si>
  <si>
    <t>Singapore</t>
  </si>
  <si>
    <t>China</t>
  </si>
  <si>
    <t>Italy</t>
  </si>
  <si>
    <t>Japan</t>
  </si>
  <si>
    <t>Czechoslovakia</t>
  </si>
  <si>
    <t>French</t>
  </si>
  <si>
    <t>united kingdom</t>
  </si>
  <si>
    <t>Indonesia</t>
  </si>
  <si>
    <t>Argentina</t>
  </si>
  <si>
    <t>Taiwan</t>
  </si>
  <si>
    <t>Paraguay</t>
  </si>
  <si>
    <t>Uruguay</t>
  </si>
  <si>
    <t>Soviet union</t>
  </si>
  <si>
    <t>Hong Kong</t>
  </si>
  <si>
    <t>Venezuela</t>
  </si>
  <si>
    <t>New Zealand</t>
  </si>
  <si>
    <t>Sweden</t>
  </si>
  <si>
    <t>soviet unio</t>
  </si>
  <si>
    <t>uno</t>
  </si>
  <si>
    <t>Ireland</t>
  </si>
  <si>
    <t>Luxembourg</t>
  </si>
  <si>
    <t>Monaco</t>
  </si>
  <si>
    <t>Bavaria</t>
  </si>
  <si>
    <t>Serbs, Croats and Slovenes</t>
  </si>
  <si>
    <t>Latvia</t>
  </si>
  <si>
    <t>Guatemala</t>
  </si>
  <si>
    <t>Switzerland</t>
  </si>
  <si>
    <t>Austria</t>
  </si>
  <si>
    <t>Bulgaria</t>
  </si>
  <si>
    <t>Ethiopia</t>
  </si>
  <si>
    <t>Burundi</t>
  </si>
  <si>
    <t>Vanuatu</t>
  </si>
  <si>
    <t>Liechtenstein</t>
  </si>
  <si>
    <t>Maldives</t>
  </si>
  <si>
    <t>Rwanda</t>
  </si>
  <si>
    <t>Yugoslavia</t>
  </si>
  <si>
    <t>Haiti</t>
  </si>
  <si>
    <t>northlands eat indies</t>
  </si>
  <si>
    <t>Portugal</t>
  </si>
  <si>
    <t>viet nam</t>
  </si>
  <si>
    <t>Greece</t>
  </si>
  <si>
    <t>Ghana</t>
  </si>
  <si>
    <t>guernsey</t>
  </si>
  <si>
    <t>ivory coast</t>
  </si>
  <si>
    <t>jersey</t>
  </si>
  <si>
    <t>France</t>
  </si>
  <si>
    <t>Zaire</t>
  </si>
  <si>
    <t>Togo</t>
  </si>
  <si>
    <t>south Africa</t>
  </si>
  <si>
    <t>Greenland</t>
  </si>
  <si>
    <t>Column1</t>
  </si>
  <si>
    <t>album</t>
  </si>
  <si>
    <t>Column4</t>
  </si>
  <si>
    <t>Column5</t>
  </si>
  <si>
    <t>Column7</t>
  </si>
  <si>
    <t>country</t>
  </si>
  <si>
    <t>start2</t>
  </si>
  <si>
    <t>album2</t>
  </si>
  <si>
    <t xml:space="preserve">    </t>
  </si>
  <si>
    <t>country1</t>
  </si>
  <si>
    <t>end</t>
  </si>
  <si>
    <t>full2</t>
  </si>
  <si>
    <t>Cyprus</t>
  </si>
  <si>
    <t>Cameroon</t>
  </si>
  <si>
    <t xml:space="preserve">Rwanda </t>
  </si>
  <si>
    <t>Zambia</t>
  </si>
  <si>
    <t xml:space="preserve">False </t>
  </si>
  <si>
    <t>Czechol</t>
  </si>
  <si>
    <t>Serbia</t>
  </si>
  <si>
    <t>Croatia</t>
  </si>
  <si>
    <t>Usa</t>
  </si>
  <si>
    <t>Yugolsavia</t>
  </si>
  <si>
    <t>Ce</t>
  </si>
  <si>
    <t>Yes</t>
  </si>
  <si>
    <t>No</t>
  </si>
  <si>
    <t>Country</t>
  </si>
  <si>
    <t>Album</t>
  </si>
  <si>
    <t>Bangladesh</t>
  </si>
  <si>
    <t/>
  </si>
  <si>
    <t>England</t>
  </si>
  <si>
    <t>no</t>
  </si>
  <si>
    <t>Kenya</t>
  </si>
  <si>
    <t>Uganda</t>
  </si>
  <si>
    <t>America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</si>
</sst>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charset val="177"/>
      <scheme val="minor"/>
    </font>
    <font>
      <b/>
      <sz val="11"/>
      <color theme="1"/>
      <name val="Calibri"/>
      <family val="2"/>
      <charset val="177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D9E1F2"/>
        <bgColor rgb="FFD9E1F2"/>
      </patternFill>
    </fill>
  </fills>
  <borders count="24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rgb="FF3F3F3F"/>
      </left>
      <right style="medium">
        <color rgb="FF3F3F3F"/>
      </right>
      <top style="medium">
        <color rgb="FF3F3F3F"/>
      </top>
      <bottom/>
      <diagonal/>
    </border>
    <border>
      <left style="medium">
        <color rgb="FF3F3F3F"/>
      </left>
      <right/>
      <top style="medium">
        <color rgb="FF3F3F3F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9">
    <xf numFmtId="0" fontId="0" fillId="0" borderId="0" xfId="0"/>
    <xf numFmtId="0" fontId="2" fillId="0" borderId="1" xfId="1" applyFont="1" applyFill="1" applyBorder="1"/>
    <xf numFmtId="0" fontId="2" fillId="0" borderId="1" xfId="1" applyFont="1" applyFill="1" applyBorder="1" applyAlignment="1">
      <alignment horizontal="center" vertical="center"/>
    </xf>
    <xf numFmtId="0" fontId="2" fillId="0" borderId="1" xfId="1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0" borderId="0" xfId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horizontal="center" vertical="center" wrapText="1"/>
    </xf>
    <xf numFmtId="0" fontId="2" fillId="0" borderId="0" xfId="1" applyFont="1" applyFill="1"/>
    <xf numFmtId="0" fontId="2" fillId="0" borderId="3" xfId="1" applyFont="1" applyFill="1" applyBorder="1"/>
    <xf numFmtId="0" fontId="2" fillId="0" borderId="2" xfId="1" applyFont="1" applyFill="1" applyBorder="1" applyAlignment="1">
      <alignment horizontal="center" vertical="center"/>
    </xf>
    <xf numFmtId="0" fontId="2" fillId="0" borderId="2" xfId="1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2" xfId="0" applyBorder="1" applyAlignment="1">
      <alignment horizontal="center" vertical="center" wrapText="1"/>
    </xf>
    <xf numFmtId="0" fontId="3" fillId="0" borderId="4" xfId="1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5" xfId="0" applyFont="1" applyBorder="1" applyAlignment="1">
      <alignment horizontal="center" vertical="center" wrapText="1"/>
    </xf>
    <xf numFmtId="0" fontId="3" fillId="2" borderId="0" xfId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0" borderId="7" xfId="1" applyFont="1" applyFill="1" applyBorder="1" applyAlignment="1">
      <alignment horizontal="center" vertical="center"/>
    </xf>
    <xf numFmtId="0" fontId="2" fillId="0" borderId="8" xfId="1" applyFont="1" applyFill="1" applyBorder="1" applyAlignment="1">
      <alignment horizontal="center" vertical="center"/>
    </xf>
    <xf numFmtId="0" fontId="2" fillId="0" borderId="9" xfId="1" applyFont="1" applyFill="1" applyBorder="1" applyAlignment="1">
      <alignment horizontal="center" vertical="center"/>
    </xf>
    <xf numFmtId="0" fontId="3" fillId="0" borderId="10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 wrapText="1"/>
    </xf>
    <xf numFmtId="0" fontId="3" fillId="0" borderId="15" xfId="1" applyFont="1" applyFill="1" applyBorder="1" applyAlignment="1">
      <alignment horizontal="center" vertical="center"/>
    </xf>
    <xf numFmtId="0" fontId="3" fillId="0" borderId="16" xfId="1" applyFont="1" applyFill="1" applyBorder="1" applyAlignment="1">
      <alignment horizontal="center" vertical="center"/>
    </xf>
    <xf numFmtId="0" fontId="3" fillId="0" borderId="9" xfId="0" applyFont="1" applyBorder="1" applyAlignment="1">
      <alignment horizontal="center" vertical="center" wrapText="1"/>
    </xf>
    <xf numFmtId="0" fontId="0" fillId="0" borderId="2" xfId="0" applyBorder="1"/>
    <xf numFmtId="0" fontId="0" fillId="0" borderId="2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5" fillId="0" borderId="2" xfId="0" applyFont="1" applyBorder="1" applyAlignment="1">
      <alignment horizontal="center" vertical="center" wrapText="1"/>
    </xf>
    <xf numFmtId="0" fontId="2" fillId="0" borderId="2" xfId="1" applyFont="1" applyFill="1" applyBorder="1"/>
    <xf numFmtId="0" fontId="5" fillId="0" borderId="2" xfId="0" applyFont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5" fillId="0" borderId="2" xfId="1" applyFont="1" applyFill="1" applyBorder="1" applyAlignment="1">
      <alignment horizontal="center" vertical="center" wrapText="1"/>
    </xf>
    <xf numFmtId="0" fontId="5" fillId="0" borderId="2" xfId="1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/>
    <xf numFmtId="0" fontId="10" fillId="0" borderId="0" xfId="1" applyFont="1" applyFill="1" applyBorder="1" applyAlignment="1">
      <alignment horizontal="center" vertical="center"/>
    </xf>
    <xf numFmtId="0" fontId="0" fillId="0" borderId="17" xfId="0" applyBorder="1"/>
    <xf numFmtId="0" fontId="8" fillId="3" borderId="18" xfId="0" applyFont="1" applyFill="1" applyBorder="1" applyAlignment="1">
      <alignment horizontal="center" vertical="center"/>
    </xf>
    <xf numFmtId="0" fontId="8" fillId="3" borderId="19" xfId="0" applyFont="1" applyFill="1" applyBorder="1" applyAlignment="1">
      <alignment horizontal="center" vertical="center"/>
    </xf>
    <xf numFmtId="0" fontId="8" fillId="3" borderId="20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4" borderId="0" xfId="0" applyFill="1"/>
    <xf numFmtId="0" fontId="9" fillId="5" borderId="21" xfId="0" applyFont="1" applyFill="1" applyBorder="1" applyAlignment="1">
      <alignment horizontal="center" vertical="center"/>
    </xf>
    <xf numFmtId="0" fontId="9" fillId="5" borderId="22" xfId="0" applyFont="1" applyFill="1" applyBorder="1" applyAlignment="1">
      <alignment horizontal="center" vertical="center"/>
    </xf>
    <xf numFmtId="0" fontId="9" fillId="5" borderId="23" xfId="0" applyFont="1" applyFill="1" applyBorder="1" applyAlignment="1">
      <alignment horizontal="center" vertical="center"/>
    </xf>
    <xf numFmtId="0" fontId="9" fillId="0" borderId="21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</cellXfs>
  <cellStyles count="2">
    <cellStyle name="Heading 4" xfId="1" builtinId="19"/>
    <cellStyle name="Normal" xfId="0" builtinId="0"/>
  </cellStyles>
  <dxfs count="115"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7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7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7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7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7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7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7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7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7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7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7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alignment horizontal="center"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>
        <bottom style="medium">
          <color rgb="FF3F3F3F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177"/>
        <scheme val="minor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medium">
          <color rgb="FF3F3F3F"/>
        </left>
        <right style="medium">
          <color rgb="FF3F3F3F"/>
        </right>
        <top/>
        <bottom/>
        <vertical style="medium">
          <color rgb="FF3F3F3F"/>
        </vertical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7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7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7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7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7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7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7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7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7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7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177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7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177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7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177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7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177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7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177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7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177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177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177"/>
        <scheme val="minor"/>
      </font>
      <fill>
        <patternFill patternType="none">
          <fgColor indexed="64"/>
          <bgColor auto="1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7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177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7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177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7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177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7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177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177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177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9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504825</xdr:colOff>
      <xdr:row>0</xdr:row>
      <xdr:rowOff>28575</xdr:rowOff>
    </xdr:from>
    <xdr:to>
      <xdr:col>7</xdr:col>
      <xdr:colOff>428626</xdr:colOff>
      <xdr:row>0</xdr:row>
      <xdr:rowOff>552450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7315200" y="28575"/>
          <a:ext cx="1990726" cy="523875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Stamp</a:t>
          </a:r>
          <a:r>
            <a:rPr lang="en-US" sz="1400" baseline="0"/>
            <a:t> Entry Form</a:t>
          </a:r>
          <a:endParaRPr lang="en-US" sz="1400"/>
        </a:p>
      </xdr:txBody>
    </xdr:sp>
    <xdr:clientData/>
  </xdr:twoCellAnchor>
  <xdr:twoCellAnchor>
    <xdr:from>
      <xdr:col>8</xdr:col>
      <xdr:colOff>114300</xdr:colOff>
      <xdr:row>0</xdr:row>
      <xdr:rowOff>19050</xdr:rowOff>
    </xdr:from>
    <xdr:to>
      <xdr:col>11</xdr:col>
      <xdr:colOff>571500</xdr:colOff>
      <xdr:row>0</xdr:row>
      <xdr:rowOff>552450</xdr:rowOff>
    </xdr:to>
    <xdr:sp macro="[0]!Module10.CreateAlbumSheet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9591675" y="19050"/>
          <a:ext cx="2181225" cy="533400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New Data Distribution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638175</xdr:colOff>
          <xdr:row>0</xdr:row>
          <xdr:rowOff>133350</xdr:rowOff>
        </xdr:from>
        <xdr:to>
          <xdr:col>4</xdr:col>
          <xdr:colOff>333375</xdr:colOff>
          <xdr:row>3</xdr:row>
          <xdr:rowOff>38100</xdr:rowOff>
        </xdr:to>
        <xdr:sp macro="" textlink="">
          <xdr:nvSpPr>
            <xdr:cNvPr id="23553" name="TextBox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3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819151</xdr:colOff>
      <xdr:row>0</xdr:row>
      <xdr:rowOff>66675</xdr:rowOff>
    </xdr:from>
    <xdr:to>
      <xdr:col>4</xdr:col>
      <xdr:colOff>590551</xdr:colOff>
      <xdr:row>3</xdr:row>
      <xdr:rowOff>123825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pSpPr/>
      </xdr:nvGrpSpPr>
      <xdr:grpSpPr>
        <a:xfrm>
          <a:off x="819151" y="66675"/>
          <a:ext cx="5067300" cy="628650"/>
          <a:chOff x="11706224" y="581025"/>
          <a:chExt cx="3857625" cy="561973"/>
        </a:xfrm>
      </xdr:grpSpPr>
      <xdr:sp macro="" textlink="$M$2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300-000003000000}"/>
              </a:ext>
            </a:extLst>
          </xdr:cNvPr>
          <xdr:cNvSpPr/>
        </xdr:nvSpPr>
        <xdr:spPr>
          <a:xfrm>
            <a:off x="11706224" y="581025"/>
            <a:ext cx="3857625" cy="552450"/>
          </a:xfrm>
          <a:prstGeom prst="roundRect">
            <a:avLst/>
          </a:prstGeom>
          <a:noFill/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fld id="{DF721060-E6D7-4C5B-AD10-E1E10EF49CE7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l"/>
              <a:t> </a:t>
            </a:fld>
            <a:endParaRPr lang="en-US" sz="1100"/>
          </a:p>
        </xdr:txBody>
      </xdr:sp>
      <xdr:sp macro="" textlink="">
        <xdr:nvSpPr>
          <xdr:cNvPr id="4" name="Rectangle: Top Corners Rounded 3">
            <a:extLst>
              <a:ext uri="{FF2B5EF4-FFF2-40B4-BE49-F238E27FC236}">
                <a16:creationId xmlns:a16="http://schemas.microsoft.com/office/drawing/2014/main" id="{00000000-0008-0000-1300-000004000000}"/>
              </a:ext>
            </a:extLst>
          </xdr:cNvPr>
          <xdr:cNvSpPr/>
        </xdr:nvSpPr>
        <xdr:spPr>
          <a:xfrm rot="16200000">
            <a:off x="11787190" y="519110"/>
            <a:ext cx="542923" cy="704853"/>
          </a:xfrm>
          <a:prstGeom prst="round2SameRect">
            <a:avLst/>
          </a:prstGeom>
          <a:solidFill>
            <a:schemeClr val="accent1">
              <a:lumMod val="75000"/>
            </a:schemeClr>
          </a:solidFill>
          <a:ln w="28575"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" name="Graphic 4" descr="Magnifying glass with solid fill">
            <a:extLst>
              <a:ext uri="{FF2B5EF4-FFF2-40B4-BE49-F238E27FC236}">
                <a16:creationId xmlns:a16="http://schemas.microsoft.com/office/drawing/2014/main" id="{00000000-0008-0000-13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858498" y="619126"/>
            <a:ext cx="428752" cy="495300"/>
          </a:xfrm>
          <a:prstGeom prst="rect">
            <a:avLst/>
          </a:prstGeom>
        </xdr:spPr>
      </xdr:pic>
    </xdr:grp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446A-A7F4-9844-9DA0-3D2709F6FDE2}" name="Table1" displayName="Table1" ref="A1:D19" headerRowDxfId="114" dataDxfId="113" headerRowCellStyle="Heading 4" dataCellStyle="Heading 4">
  <autoFilter ref="A1:D19" xr:uid="{571E446A-A7F4-9844-9DA0-3D2709F6FDE2}"/>
  <tableColumns count="4">
    <tableColumn id="1" xr3:uid="{B5DEC592-7E62-774F-91F0-1BA41D85F3B5}" name="Country " totalsRowLabel="Total" dataDxfId="112" totalsRowDxfId="111" dataCellStyle="Heading 4"/>
    <tableColumn id="2" xr3:uid="{BC88DE55-3BBA-CF47-92BA-DB1A7365FFE0}" name="Start" dataDxfId="110" totalsRowDxfId="109" dataCellStyle="Heading 4"/>
    <tableColumn id="3" xr3:uid="{F1C0DF4A-677F-6C49-801B-A87659DCE6FF}" name="End" dataDxfId="108" totalsRowDxfId="107" dataCellStyle="Heading 4"/>
    <tableColumn id="4" xr3:uid="{462CBA99-0B0A-D845-A7BD-5D9CB4C97E41}" name="Full" totalsRowFunction="count" dataDxfId="106" totalsRowDxfId="105" dataCellStyle="Heading 4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6C6EF5-68D6-BD45-A561-C0C5F47B302E}" name="Table2" displayName="Table2" ref="A1:E23" totalsRowShown="0">
  <autoFilter ref="A1:E23" xr:uid="{C66C6EF5-68D6-BD45-A561-C0C5F47B302E}"/>
  <tableColumns count="5">
    <tableColumn id="1" xr3:uid="{D7E1DDFB-A21B-A64D-94BE-02328433F5CC}" name="Country " dataDxfId="104"/>
    <tableColumn id="2" xr3:uid="{4D750C50-2DAB-C44C-8214-326901FCD8CD}" name="Start" dataDxfId="103"/>
    <tableColumn id="3" xr3:uid="{2E22FF90-11C5-3840-8938-FFD01221139D}" name="End" dataDxfId="102"/>
    <tableColumn id="4" xr3:uid="{C2ADF0C3-AB2D-0C4B-8811-CD291E9646CF}" name="Full" dataDxfId="101"/>
    <tableColumn id="5" xr3:uid="{BE29A409-A08E-4CB6-AC7E-D4674BDC176C}" name="Column1" dataDxfId="100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EC400EB-879A-4144-9A22-20893E25ED5D}" name="Table24" displayName="Table24" ref="A1:E11" totalsRowShown="0" headerRowDxfId="99" dataDxfId="98">
  <autoFilter ref="A1:E11" xr:uid="{4EC400EB-879A-4144-9A22-20893E25ED5D}"/>
  <tableColumns count="5">
    <tableColumn id="1" xr3:uid="{63D9B1F8-3DD3-49E8-87BB-489F3BF33881}" name="Country " dataDxfId="97"/>
    <tableColumn id="2" xr3:uid="{29D3C326-5FA5-4A58-9C14-415913A7AE5E}" name="Start" dataDxfId="96"/>
    <tableColumn id="3" xr3:uid="{3B9CE21E-EF1C-41DC-8DFB-22492B718D43}" name="End" dataDxfId="95"/>
    <tableColumn id="4" xr3:uid="{61DC5347-B4DC-4763-B20E-6512ACF36313}" name="Full" dataDxfId="94"/>
    <tableColumn id="5" xr3:uid="{1B761FD9-1366-464E-92B9-855D956BCD9B}" name="Column1" dataDxfId="93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45F34A8-6BDF-4F1D-85A2-01F90FEE7233}" name="Table245" displayName="Table245" ref="A1:D11" totalsRowShown="0" headerRowDxfId="92" dataDxfId="91">
  <autoFilter ref="A1:D11" xr:uid="{945F34A8-6BDF-4F1D-85A2-01F90FEE7233}"/>
  <tableColumns count="4">
    <tableColumn id="1" xr3:uid="{85167E9E-B495-4478-903B-7B51E28A73C6}" name="Country " dataDxfId="90"/>
    <tableColumn id="2" xr3:uid="{5355F57C-2E0A-4C7F-BC98-AA042017ED6D}" name="Start" dataDxfId="89"/>
    <tableColumn id="3" xr3:uid="{51AFDAF2-1EDB-4AA1-B495-43D61DC0C9EA}" name="End" dataDxfId="88"/>
    <tableColumn id="4" xr3:uid="{CE196787-8203-4D89-9CB3-487A9B760B80}" name="Full" dataDxfId="87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E126370-4272-43A3-835A-BF4A4F2C24C2}" name="Table2456" displayName="Table2456" ref="A1:D25" totalsRowShown="0" headerRowDxfId="86" dataDxfId="85">
  <autoFilter ref="A1:D25" xr:uid="{1E126370-4272-43A3-835A-BF4A4F2C24C2}"/>
  <tableColumns count="4">
    <tableColumn id="1" xr3:uid="{7DE5BE90-3408-4095-8AFC-3D55939B3AC9}" name="Country " dataDxfId="84"/>
    <tableColumn id="2" xr3:uid="{3F80B282-8063-4AE9-9E7B-E6E525C83D63}" name="Start" dataDxfId="83"/>
    <tableColumn id="3" xr3:uid="{8E0B6997-E3D3-4050-8C36-7295261C1C4C}" name="End" dataDxfId="82"/>
    <tableColumn id="4" xr3:uid="{810408EB-BD4C-409A-8707-3C6785550F2E}" name="Full" dataDxfId="81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F0D1E90-0746-4587-B63D-205CD3E41A47}" name="Table24567" displayName="Table24567" ref="A1:D27" totalsRowShown="0" headerRowDxfId="80" dataDxfId="79">
  <autoFilter ref="A1:D27" xr:uid="{CF0D1E90-0746-4587-B63D-205CD3E41A47}"/>
  <tableColumns count="4">
    <tableColumn id="1" xr3:uid="{48255FEA-A297-4342-9A54-EE93A246FEEA}" name="Country " dataDxfId="78"/>
    <tableColumn id="2" xr3:uid="{73E0BCCD-5AE0-418B-A8DB-67245C086577}" name="Start" dataDxfId="77"/>
    <tableColumn id="3" xr3:uid="{04CD1C1C-AF21-45E1-A8B7-69CE5DB59592}" name="End" dataDxfId="76"/>
    <tableColumn id="4" xr3:uid="{DB1C69AE-EB25-4BE8-B227-B5F29AD8F1D6}" name="Full" dataDxfId="75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96C760F-3626-45F7-92A4-3A164DB8A82D}" name="Table245678" displayName="Table245678" ref="A1:D45" totalsRowShown="0" headerRowDxfId="74" dataDxfId="73">
  <autoFilter ref="A1:D45" xr:uid="{496C760F-3626-45F7-92A4-3A164DB8A82D}">
    <filterColumn colId="3">
      <customFilters>
        <customFilter operator="notEqual" val=" "/>
      </customFilters>
    </filterColumn>
  </autoFilter>
  <tableColumns count="4">
    <tableColumn id="1" xr3:uid="{0A5154A5-D904-4715-87B5-218CA355B062}" name="Country " dataDxfId="72"/>
    <tableColumn id="2" xr3:uid="{30CE1C2D-32E5-4EA5-B947-9B3FC3007559}" name="Start" dataDxfId="71"/>
    <tableColumn id="3" xr3:uid="{7FCFCBF6-62F1-45B6-B8C2-35F48870C99C}" name="End" dataDxfId="70"/>
    <tableColumn id="4" xr3:uid="{2E912344-CED3-4B25-A1DB-1FADDD514F80}" name="Full" dataDxfId="69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F8C316C-F5C4-4F52-8D0E-37B98D3A5AE7}" name="Table110" displayName="Table110" ref="A1:E133" headerRowDxfId="68" dataDxfId="67" headerRowCellStyle="Heading 4" dataCellStyle="Heading 4">
  <autoFilter ref="A1:E133" xr:uid="{3F8C316C-F5C4-4F52-8D0E-37B98D3A5AE7}"/>
  <tableColumns count="5">
    <tableColumn id="1" xr3:uid="{76D7E674-C15A-4617-8753-E6BE366DC8ED}" name="Country " totalsRowLabel="Total" dataDxfId="66" totalsRowDxfId="65" dataCellStyle="Heading 4"/>
    <tableColumn id="2" xr3:uid="{551FB43A-5845-4B74-8557-EFC8CB57F9EF}" name="Start" dataDxfId="64" totalsRowDxfId="63" dataCellStyle="Heading 4"/>
    <tableColumn id="3" xr3:uid="{F3419631-9D78-4AAF-9477-50A17507DF6F}" name="Ends" dataDxfId="62" totalsRowDxfId="61" dataCellStyle="Heading 4"/>
    <tableColumn id="4" xr3:uid="{19F1A109-76A0-40B8-BC53-9C1504525154}" name="Full" totalsRowFunction="count" dataDxfId="60" totalsRowDxfId="59" dataCellStyle="Heading 4"/>
    <tableColumn id="5" xr3:uid="{95FBEEF1-C741-48D7-9E3D-AB6A8A7927E0}" name="album" dataDxfId="58" totalsRowDxfId="57" dataCellStyle="Heading 4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92CB86F-C4C4-4962-954E-9D3796355623}" name="Table1109" displayName="Table1109" ref="A1:J133" headerRowDxfId="56" dataDxfId="55" totalsRowDxfId="54" headerRowCellStyle="Heading 4" dataCellStyle="Heading 4">
  <autoFilter ref="A1:J133" xr:uid="{092CB86F-C4C4-4962-954E-9D3796355623}"/>
  <sortState xmlns:xlrd2="http://schemas.microsoft.com/office/spreadsheetml/2017/richdata2" ref="A2:E133">
    <sortCondition ref="A2:A133"/>
    <sortCondition ref="E2:E133"/>
    <sortCondition ref="B2:B133"/>
  </sortState>
  <tableColumns count="10">
    <tableColumn id="1" xr3:uid="{B549F3DB-4B72-49B8-97EF-6195136074B5}" name="Country " totalsRowLabel="Total" dataDxfId="53" totalsRowDxfId="52" dataCellStyle="Heading 4"/>
    <tableColumn id="2" xr3:uid="{6990E599-63E1-4107-AC83-00D1E382AD41}" name="Start" dataDxfId="51" totalsRowDxfId="50" dataCellStyle="Heading 4"/>
    <tableColumn id="3" xr3:uid="{45493927-8E27-46DE-83F7-B5655CA5CBB7}" name="Ends" dataDxfId="49" totalsRowDxfId="48" dataCellStyle="Heading 4"/>
    <tableColumn id="4" xr3:uid="{7277AE55-A3CF-4F59-AACD-DE93EC0E86FF}" name="Full" totalsRowFunction="count" dataDxfId="47" totalsRowDxfId="46" dataCellStyle="Heading 4"/>
    <tableColumn id="5" xr3:uid="{E04F46CC-E16C-4E64-845C-E34F78D1BAE3}" name="album" dataDxfId="45" totalsRowDxfId="44" dataCellStyle="Heading 4"/>
    <tableColumn id="6" xr3:uid="{9FBA1030-08FA-4960-AFF4-C6FBD597CCCB}" name="country1" dataDxfId="43" totalsRowDxfId="42" dataCellStyle="Heading 4"/>
    <tableColumn id="7" xr3:uid="{289B382F-0C11-4EEB-9158-62116A86956D}" name="start2" dataDxfId="41" totalsRowDxfId="40" dataCellStyle="Heading 4"/>
    <tableColumn id="8" xr3:uid="{784165A7-7CA7-4BE8-AAEE-C1E8DA80CA3A}" name="end" dataDxfId="39" totalsRowDxfId="38" dataCellStyle="Heading 4"/>
    <tableColumn id="9" xr3:uid="{3E110106-C19B-4969-A9A8-2318B0483D78}" name="full2" dataDxfId="37" totalsRowDxfId="36" dataCellStyle="Heading 4"/>
    <tableColumn id="10" xr3:uid="{66CBFB77-671A-481E-98E7-E945219C65F6}" name="album2" dataDxfId="35" totalsRowDxfId="34" dataCellStyle="Heading 4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98BC408-EEAF-4FD1-B361-6A501E260DEF}" name="Table11011" displayName="Table11011" ref="A1:K50" headerRowDxfId="33" dataDxfId="31" totalsRowDxfId="30" headerRowBorderDxfId="32" headerRowCellStyle="Heading 4" dataCellStyle="Normal">
  <sortState xmlns:xlrd2="http://schemas.microsoft.com/office/spreadsheetml/2017/richdata2" ref="A2:E50">
    <sortCondition ref="A2:A50"/>
    <sortCondition ref="E2:E50"/>
    <sortCondition ref="B2:B50"/>
  </sortState>
  <tableColumns count="11">
    <tableColumn id="1" xr3:uid="{5DD6E270-23CD-43B5-A416-AB87718CD9B3}" name="Country " totalsRowLabel="Total" dataDxfId="29" totalsRowDxfId="28" dataCellStyle="Normal"/>
    <tableColumn id="2" xr3:uid="{961B3DB0-7177-4A12-9849-2FE8D56D60FF}" name="Start" dataDxfId="27" totalsRowDxfId="26" dataCellStyle="Normal"/>
    <tableColumn id="3" xr3:uid="{20A58EFA-2551-44BC-B03B-046843BCA9CB}" name="Column7" dataDxfId="25" totalsRowDxfId="24" dataCellStyle="Normal"/>
    <tableColumn id="4" xr3:uid="{AB5B92F8-81BE-4A41-AC44-24C3A763C07C}" name="Column1" totalsRowFunction="count" dataDxfId="23" totalsRowDxfId="22" dataCellStyle="Normal"/>
    <tableColumn id="5" xr3:uid="{50F2DD45-B376-40B1-9563-CDA61E4C7E03}" name="album" dataDxfId="21" totalsRowDxfId="20" dataCellStyle="Normal"/>
    <tableColumn id="14" xr3:uid="{2430ED51-A732-49D8-B2C0-27C481F5A573}" name="    " dataDxfId="19" totalsRowDxfId="18"/>
    <tableColumn id="6" xr3:uid="{761FEB9E-F4C2-4444-9376-44AC60415F6D}" name="country" dataDxfId="17" totalsRowDxfId="16" dataCellStyle="Normal"/>
    <tableColumn id="7" xr3:uid="{DFB4F337-F6AA-47B8-9AE1-D5EA8B532485}" name="start2" dataDxfId="15" totalsRowDxfId="14" dataCellStyle="Normal"/>
    <tableColumn id="8" xr3:uid="{F6141F3F-0797-4682-82EB-366FD08B6D9B}" name="Column4" dataDxfId="13" totalsRowDxfId="12" dataCellStyle="Normal"/>
    <tableColumn id="9" xr3:uid="{CEF24942-7D52-41A0-9A36-5EA0EA1AE700}" name="Column5" dataDxfId="11" totalsRowDxfId="10" dataCellStyle="Normal"/>
    <tableColumn id="10" xr3:uid="{11568385-6B7C-4766-9B29-F0E0AA308D78}" name="album2" dataDxfId="9" totalsRowDxfId="8" dataCellStyle="Normal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E1E6866-B941-4DAB-AD7D-0A1ADE027A4B}" name="Table11" displayName="Table11" ref="A1:E160" totalsRowShown="0" headerRowDxfId="7" dataDxfId="6">
  <autoFilter ref="A1:E160" xr:uid="{FE1E6866-B941-4DAB-AD7D-0A1ADE027A4B}"/>
  <sortState xmlns:xlrd2="http://schemas.microsoft.com/office/spreadsheetml/2017/richdata2" ref="A2:E156">
    <sortCondition ref="E1:E156"/>
  </sortState>
  <tableColumns count="5">
    <tableColumn id="1" xr3:uid="{0994188A-4920-4A89-9E55-BC488229CFA4}" name="Country" dataDxfId="5"/>
    <tableColumn id="2" xr3:uid="{BC8378CE-7974-468D-A02C-275A47548D87}" name="Start" dataDxfId="4"/>
    <tableColumn id="3" xr3:uid="{9975DFC4-0246-4469-8C11-E9A838797B56}" name="End" dataDxfId="3"/>
    <tableColumn id="4" xr3:uid="{082FB56E-AEC8-4192-A4C4-3CA5D9F051F8}" name="Full" dataDxfId="2"/>
    <tableColumn id="5" xr3:uid="{665B689D-190D-4C90-A76B-BBF593FBC6B2}" name="Album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E01DA-57F2-394C-A6DC-91C352F2D490}">
  <sheetPr codeName="Sheet1">
    <pageSetUpPr fitToPage="1"/>
  </sheetPr>
  <dimension ref="A1:D20"/>
  <sheetViews>
    <sheetView zoomScaleNormal="100" zoomScaleSheetLayoutView="100" workbookViewId="0">
      <selection activeCell="G12" sqref="G12"/>
    </sheetView>
  </sheetViews>
  <sheetFormatPr defaultRowHeight="15" x14ac:dyDescent="0.25"/>
  <cols>
    <col min="1" max="1" width="16.85546875" customWidth="1"/>
  </cols>
  <sheetData>
    <row r="1" spans="1:4" x14ac:dyDescent="0.25">
      <c r="A1" s="1" t="s">
        <v>0</v>
      </c>
      <c r="B1" s="1" t="s">
        <v>1</v>
      </c>
      <c r="C1" s="1" t="s">
        <v>22</v>
      </c>
      <c r="D1" s="1" t="s">
        <v>4</v>
      </c>
    </row>
    <row r="2" spans="1:4" x14ac:dyDescent="0.25">
      <c r="A2" s="2" t="s">
        <v>3</v>
      </c>
      <c r="B2" s="2">
        <v>1</v>
      </c>
      <c r="C2" s="2">
        <v>2</v>
      </c>
      <c r="D2" s="3" t="b">
        <v>1</v>
      </c>
    </row>
    <row r="3" spans="1:4" x14ac:dyDescent="0.25">
      <c r="A3" s="2" t="s">
        <v>5</v>
      </c>
      <c r="B3" s="2">
        <v>3</v>
      </c>
      <c r="C3" s="2">
        <v>3</v>
      </c>
      <c r="D3" s="3" t="b">
        <v>0</v>
      </c>
    </row>
    <row r="4" spans="1:4" x14ac:dyDescent="0.25">
      <c r="A4" s="2" t="s">
        <v>6</v>
      </c>
      <c r="B4" s="2">
        <v>4</v>
      </c>
      <c r="C4" s="2">
        <v>5</v>
      </c>
      <c r="D4" s="3" t="b">
        <v>1</v>
      </c>
    </row>
    <row r="5" spans="1:4" x14ac:dyDescent="0.25">
      <c r="A5" s="2" t="s">
        <v>7</v>
      </c>
      <c r="B5" s="2">
        <v>6</v>
      </c>
      <c r="C5" s="2">
        <v>6</v>
      </c>
      <c r="D5" s="3" t="s">
        <v>113</v>
      </c>
    </row>
    <row r="6" spans="1:4" x14ac:dyDescent="0.25">
      <c r="A6" s="2" t="s">
        <v>8</v>
      </c>
      <c r="B6" s="2">
        <v>7</v>
      </c>
      <c r="C6" s="2">
        <v>7</v>
      </c>
      <c r="D6" s="3" t="b">
        <v>1</v>
      </c>
    </row>
    <row r="7" spans="1:4" x14ac:dyDescent="0.25">
      <c r="A7" s="2" t="s">
        <v>9</v>
      </c>
      <c r="B7" s="2">
        <v>8</v>
      </c>
      <c r="C7" s="2">
        <v>9</v>
      </c>
      <c r="D7" s="3" t="b">
        <v>0</v>
      </c>
    </row>
    <row r="8" spans="1:4" x14ac:dyDescent="0.25">
      <c r="A8" s="2" t="s">
        <v>10</v>
      </c>
      <c r="B8" s="2">
        <v>10</v>
      </c>
      <c r="C8" s="2">
        <v>14</v>
      </c>
      <c r="D8" s="3" t="b">
        <v>0</v>
      </c>
    </row>
    <row r="9" spans="1:4" x14ac:dyDescent="0.25">
      <c r="A9" s="2" t="s">
        <v>11</v>
      </c>
      <c r="B9" s="2">
        <v>15</v>
      </c>
      <c r="C9" s="2">
        <v>15</v>
      </c>
      <c r="D9" s="3" t="b">
        <v>0</v>
      </c>
    </row>
    <row r="10" spans="1:4" x14ac:dyDescent="0.25">
      <c r="A10" s="2" t="s">
        <v>12</v>
      </c>
      <c r="B10" s="2">
        <v>16</v>
      </c>
      <c r="C10" s="2">
        <v>17</v>
      </c>
      <c r="D10" s="3" t="b">
        <v>1</v>
      </c>
    </row>
    <row r="11" spans="1:4" x14ac:dyDescent="0.25">
      <c r="A11" s="2" t="s">
        <v>13</v>
      </c>
      <c r="B11" s="2">
        <v>18</v>
      </c>
      <c r="C11" s="2">
        <v>18</v>
      </c>
      <c r="D11" s="3" t="b">
        <v>0</v>
      </c>
    </row>
    <row r="12" spans="1:4" x14ac:dyDescent="0.25">
      <c r="A12" s="2" t="s">
        <v>14</v>
      </c>
      <c r="B12" s="2">
        <v>19</v>
      </c>
      <c r="C12" s="2">
        <v>19</v>
      </c>
      <c r="D12" s="3" t="b">
        <v>0</v>
      </c>
    </row>
    <row r="13" spans="1:4" x14ac:dyDescent="0.25">
      <c r="A13" s="2" t="s">
        <v>15</v>
      </c>
      <c r="B13" s="2">
        <v>20</v>
      </c>
      <c r="C13" s="2">
        <v>20</v>
      </c>
      <c r="D13" s="3" t="b">
        <v>0</v>
      </c>
    </row>
    <row r="14" spans="1:4" x14ac:dyDescent="0.25">
      <c r="A14" s="2" t="s">
        <v>16</v>
      </c>
      <c r="B14" s="2">
        <v>21</v>
      </c>
      <c r="C14" s="2">
        <v>21</v>
      </c>
      <c r="D14" s="3" t="b">
        <v>0</v>
      </c>
    </row>
    <row r="15" spans="1:4" x14ac:dyDescent="0.25">
      <c r="A15" s="2" t="s">
        <v>17</v>
      </c>
      <c r="B15" s="2">
        <v>22</v>
      </c>
      <c r="C15" s="2">
        <v>22</v>
      </c>
      <c r="D15" s="3" t="b">
        <v>0</v>
      </c>
    </row>
    <row r="16" spans="1:4" x14ac:dyDescent="0.25">
      <c r="A16" s="2" t="s">
        <v>18</v>
      </c>
      <c r="B16" s="2">
        <v>23</v>
      </c>
      <c r="C16" s="2">
        <v>23</v>
      </c>
      <c r="D16" s="3" t="b">
        <v>0</v>
      </c>
    </row>
    <row r="17" spans="1:4" x14ac:dyDescent="0.25">
      <c r="A17" s="2" t="s">
        <v>19</v>
      </c>
      <c r="B17" s="2">
        <v>24</v>
      </c>
      <c r="C17" s="2">
        <v>30</v>
      </c>
      <c r="D17" s="3" t="b">
        <v>1</v>
      </c>
    </row>
    <row r="18" spans="1:4" x14ac:dyDescent="0.25">
      <c r="A18" s="2" t="s">
        <v>20</v>
      </c>
      <c r="B18" s="2">
        <v>31</v>
      </c>
      <c r="C18" s="2">
        <v>31</v>
      </c>
      <c r="D18" s="3" t="b">
        <v>0</v>
      </c>
    </row>
    <row r="19" spans="1:4" x14ac:dyDescent="0.25">
      <c r="A19" s="2" t="s">
        <v>21</v>
      </c>
      <c r="B19" s="2">
        <v>32</v>
      </c>
      <c r="C19" s="2">
        <v>32</v>
      </c>
      <c r="D19" s="3" t="b">
        <v>0</v>
      </c>
    </row>
    <row r="20" spans="1:4" x14ac:dyDescent="0.25">
      <c r="A20" s="4"/>
      <c r="B20" s="4"/>
      <c r="C20" s="4"/>
      <c r="D20" s="4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350BA-A4D7-0A41-9FF3-EB366C6E31BA}">
  <sheetPr codeName="Sheet2">
    <pageSetUpPr fitToPage="1"/>
  </sheetPr>
  <dimension ref="A1:E23"/>
  <sheetViews>
    <sheetView zoomScaleNormal="100" zoomScaleSheetLayoutView="100" workbookViewId="0">
      <selection activeCell="E2" sqref="E2:E23"/>
    </sheetView>
  </sheetViews>
  <sheetFormatPr defaultRowHeight="15" x14ac:dyDescent="0.25"/>
  <cols>
    <col min="1" max="1" width="16.42578125" customWidth="1"/>
  </cols>
  <sheetData>
    <row r="1" spans="1:5" x14ac:dyDescent="0.25">
      <c r="A1" t="s">
        <v>0</v>
      </c>
      <c r="B1" t="s">
        <v>1</v>
      </c>
      <c r="C1" t="s">
        <v>22</v>
      </c>
      <c r="D1" t="s">
        <v>4</v>
      </c>
      <c r="E1" t="s">
        <v>97</v>
      </c>
    </row>
    <row r="2" spans="1:5" x14ac:dyDescent="0.25">
      <c r="A2" s="33" t="s">
        <v>23</v>
      </c>
      <c r="B2" s="33">
        <v>1</v>
      </c>
      <c r="C2" s="33">
        <v>4</v>
      </c>
      <c r="D2" s="34" t="b">
        <v>1</v>
      </c>
      <c r="E2" s="46" t="s">
        <v>120</v>
      </c>
    </row>
    <row r="3" spans="1:5" x14ac:dyDescent="0.25">
      <c r="A3" s="33" t="s">
        <v>24</v>
      </c>
      <c r="B3" s="33">
        <v>5</v>
      </c>
      <c r="C3" s="33">
        <v>5</v>
      </c>
      <c r="D3" s="34" t="b">
        <v>0</v>
      </c>
      <c r="E3" s="33" t="s">
        <v>121</v>
      </c>
    </row>
    <row r="4" spans="1:5" x14ac:dyDescent="0.25">
      <c r="A4" s="33" t="s">
        <v>58</v>
      </c>
      <c r="B4" s="33">
        <v>6</v>
      </c>
      <c r="C4" s="33">
        <v>7</v>
      </c>
      <c r="D4" s="34" t="b">
        <v>0</v>
      </c>
      <c r="E4" s="33" t="s">
        <v>121</v>
      </c>
    </row>
    <row r="5" spans="1:5" x14ac:dyDescent="0.25">
      <c r="A5" s="33" t="s">
        <v>25</v>
      </c>
      <c r="B5" s="33">
        <v>8</v>
      </c>
      <c r="C5" s="33">
        <v>8</v>
      </c>
      <c r="D5" s="34" t="b">
        <v>1</v>
      </c>
      <c r="E5" s="46" t="s">
        <v>120</v>
      </c>
    </row>
    <row r="6" spans="1:5" x14ac:dyDescent="0.25">
      <c r="A6" s="33" t="s">
        <v>59</v>
      </c>
      <c r="B6" s="33">
        <v>9</v>
      </c>
      <c r="C6" s="33">
        <v>9</v>
      </c>
      <c r="D6" s="34" t="b">
        <v>0</v>
      </c>
      <c r="E6" s="33" t="s">
        <v>121</v>
      </c>
    </row>
    <row r="7" spans="1:5" x14ac:dyDescent="0.25">
      <c r="A7" s="33" t="s">
        <v>60</v>
      </c>
      <c r="B7" s="33">
        <v>10</v>
      </c>
      <c r="C7" s="33">
        <v>10</v>
      </c>
      <c r="D7" s="34" t="b">
        <v>0</v>
      </c>
      <c r="E7" s="33" t="s">
        <v>121</v>
      </c>
    </row>
    <row r="8" spans="1:5" x14ac:dyDescent="0.25">
      <c r="A8" s="33" t="s">
        <v>26</v>
      </c>
      <c r="B8" s="33">
        <v>11</v>
      </c>
      <c r="C8" s="33">
        <v>13</v>
      </c>
      <c r="D8" s="34" t="b">
        <v>1</v>
      </c>
      <c r="E8" s="46" t="s">
        <v>120</v>
      </c>
    </row>
    <row r="9" spans="1:5" x14ac:dyDescent="0.25">
      <c r="A9" s="33" t="s">
        <v>27</v>
      </c>
      <c r="B9" s="33">
        <v>14</v>
      </c>
      <c r="C9" s="33">
        <v>14</v>
      </c>
      <c r="D9" s="34" t="b">
        <v>0</v>
      </c>
      <c r="E9" s="33" t="s">
        <v>121</v>
      </c>
    </row>
    <row r="10" spans="1:5" x14ac:dyDescent="0.25">
      <c r="A10" s="33" t="s">
        <v>28</v>
      </c>
      <c r="B10" s="33">
        <v>15</v>
      </c>
      <c r="C10" s="33">
        <v>15</v>
      </c>
      <c r="D10" s="34" t="b">
        <v>0</v>
      </c>
      <c r="E10" s="33" t="s">
        <v>121</v>
      </c>
    </row>
    <row r="11" spans="1:5" x14ac:dyDescent="0.25">
      <c r="A11" s="33" t="s">
        <v>61</v>
      </c>
      <c r="B11" s="33">
        <v>16</v>
      </c>
      <c r="C11" s="33">
        <v>16</v>
      </c>
      <c r="D11" s="34" t="b">
        <v>0</v>
      </c>
      <c r="E11" s="33" t="s">
        <v>121</v>
      </c>
    </row>
    <row r="12" spans="1:5" x14ac:dyDescent="0.25">
      <c r="A12" s="33" t="s">
        <v>62</v>
      </c>
      <c r="B12" s="33">
        <v>17</v>
      </c>
      <c r="C12" s="33">
        <v>17</v>
      </c>
      <c r="D12" s="34" t="b">
        <v>0</v>
      </c>
      <c r="E12" s="33" t="s">
        <v>121</v>
      </c>
    </row>
    <row r="13" spans="1:5" x14ac:dyDescent="0.25">
      <c r="A13" s="33" t="s">
        <v>29</v>
      </c>
      <c r="B13" s="33">
        <v>18</v>
      </c>
      <c r="C13" s="33">
        <v>18</v>
      </c>
      <c r="D13" s="34" t="b">
        <v>1</v>
      </c>
      <c r="E13" s="46" t="s">
        <v>120</v>
      </c>
    </row>
    <row r="14" spans="1:5" x14ac:dyDescent="0.25">
      <c r="A14" s="33" t="s">
        <v>30</v>
      </c>
      <c r="B14" s="33">
        <v>19</v>
      </c>
      <c r="C14" s="33">
        <v>19</v>
      </c>
      <c r="D14" s="34" t="b">
        <v>0</v>
      </c>
      <c r="E14" s="33" t="s">
        <v>121</v>
      </c>
    </row>
    <row r="15" spans="1:5" x14ac:dyDescent="0.25">
      <c r="A15" s="33" t="s">
        <v>31</v>
      </c>
      <c r="B15" s="33">
        <v>20</v>
      </c>
      <c r="C15" s="33">
        <v>20</v>
      </c>
      <c r="D15" s="34" t="b">
        <v>0</v>
      </c>
      <c r="E15" s="33" t="s">
        <v>121</v>
      </c>
    </row>
    <row r="16" spans="1:5" x14ac:dyDescent="0.25">
      <c r="A16" s="33" t="s">
        <v>32</v>
      </c>
      <c r="B16" s="33">
        <v>21</v>
      </c>
      <c r="C16" s="33">
        <v>21</v>
      </c>
      <c r="D16" s="34" t="b">
        <v>0</v>
      </c>
      <c r="E16" s="33" t="s">
        <v>121</v>
      </c>
    </row>
    <row r="17" spans="1:5" x14ac:dyDescent="0.25">
      <c r="A17" s="33" t="s">
        <v>63</v>
      </c>
      <c r="B17" s="33">
        <v>22</v>
      </c>
      <c r="C17" s="33">
        <v>24</v>
      </c>
      <c r="D17" s="34" t="b">
        <v>1</v>
      </c>
      <c r="E17" s="46" t="s">
        <v>120</v>
      </c>
    </row>
    <row r="18" spans="1:5" x14ac:dyDescent="0.25">
      <c r="A18" s="33" t="s">
        <v>33</v>
      </c>
      <c r="B18" s="33">
        <v>25</v>
      </c>
      <c r="C18" s="33">
        <v>25</v>
      </c>
      <c r="D18" s="34" t="b">
        <v>0</v>
      </c>
      <c r="E18" s="33" t="s">
        <v>121</v>
      </c>
    </row>
    <row r="19" spans="1:5" x14ac:dyDescent="0.25">
      <c r="A19" s="33" t="s">
        <v>34</v>
      </c>
      <c r="B19" s="33">
        <v>26</v>
      </c>
      <c r="C19" s="33">
        <v>28</v>
      </c>
      <c r="D19" s="34" t="b">
        <v>1</v>
      </c>
      <c r="E19" s="46" t="s">
        <v>120</v>
      </c>
    </row>
    <row r="20" spans="1:5" x14ac:dyDescent="0.25">
      <c r="A20" s="33" t="s">
        <v>35</v>
      </c>
      <c r="B20" s="33">
        <v>29</v>
      </c>
      <c r="C20" s="33">
        <v>29</v>
      </c>
      <c r="D20" s="34" t="b">
        <v>1</v>
      </c>
      <c r="E20" s="46" t="s">
        <v>120</v>
      </c>
    </row>
    <row r="21" spans="1:5" x14ac:dyDescent="0.25">
      <c r="A21" s="33" t="s">
        <v>57</v>
      </c>
      <c r="B21" s="33">
        <v>30</v>
      </c>
      <c r="C21" s="33">
        <v>30</v>
      </c>
      <c r="D21" s="34" t="b">
        <v>0</v>
      </c>
      <c r="E21" s="33" t="s">
        <v>121</v>
      </c>
    </row>
    <row r="22" spans="1:5" x14ac:dyDescent="0.25">
      <c r="A22" s="33" t="s">
        <v>36</v>
      </c>
      <c r="B22" s="33">
        <v>31</v>
      </c>
      <c r="C22" s="33">
        <v>31</v>
      </c>
      <c r="D22" s="34" t="b">
        <v>1</v>
      </c>
      <c r="E22" s="46" t="s">
        <v>120</v>
      </c>
    </row>
    <row r="23" spans="1:5" x14ac:dyDescent="0.25">
      <c r="A23" s="33" t="s">
        <v>37</v>
      </c>
      <c r="B23" s="33">
        <v>32</v>
      </c>
      <c r="C23" s="33">
        <v>32</v>
      </c>
      <c r="D23" s="34" t="b">
        <v>0</v>
      </c>
      <c r="E23" s="33" t="s">
        <v>121</v>
      </c>
    </row>
  </sheetData>
  <pageMargins left="0.7" right="0.7" top="0.75" bottom="0.75" header="0.3" footer="0.3"/>
  <pageSetup paperSize="9" fitToWidth="0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84F6E-61D5-45A4-B067-5F7CB0F15AFD}">
  <sheetPr codeName="Sheet3"/>
  <dimension ref="A1:E11"/>
  <sheetViews>
    <sheetView workbookViewId="0">
      <selection activeCell="E2" sqref="E2:E11"/>
    </sheetView>
  </sheetViews>
  <sheetFormatPr defaultRowHeight="15" x14ac:dyDescent="0.25"/>
  <cols>
    <col min="1" max="1" width="15" customWidth="1"/>
    <col min="4" max="4" width="8.85546875" customWidth="1"/>
  </cols>
  <sheetData>
    <row r="1" spans="1:5" x14ac:dyDescent="0.25">
      <c r="A1" s="5" t="s">
        <v>0</v>
      </c>
      <c r="B1" s="5" t="s">
        <v>1</v>
      </c>
      <c r="C1" s="5" t="s">
        <v>22</v>
      </c>
      <c r="D1" s="5" t="s">
        <v>4</v>
      </c>
      <c r="E1" s="5" t="s">
        <v>97</v>
      </c>
    </row>
    <row r="2" spans="1:5" x14ac:dyDescent="0.25">
      <c r="A2" s="5" t="s">
        <v>47</v>
      </c>
      <c r="B2" s="5">
        <v>1</v>
      </c>
      <c r="C2" s="5">
        <v>1</v>
      </c>
      <c r="D2" s="6" t="b">
        <v>0</v>
      </c>
      <c r="E2" s="5" t="s">
        <v>121</v>
      </c>
    </row>
    <row r="3" spans="1:5" x14ac:dyDescent="0.25">
      <c r="A3" s="5" t="s">
        <v>48</v>
      </c>
      <c r="B3" s="5">
        <v>2</v>
      </c>
      <c r="C3" s="5">
        <v>2</v>
      </c>
      <c r="D3" s="6" t="b">
        <v>1</v>
      </c>
      <c r="E3" s="5" t="s">
        <v>120</v>
      </c>
    </row>
    <row r="4" spans="1:5" x14ac:dyDescent="0.25">
      <c r="A4" s="5" t="s">
        <v>49</v>
      </c>
      <c r="B4" s="5">
        <v>3</v>
      </c>
      <c r="C4" s="5">
        <v>6</v>
      </c>
      <c r="D4" s="6" t="b">
        <v>1</v>
      </c>
      <c r="E4" s="5" t="s">
        <v>120</v>
      </c>
    </row>
    <row r="5" spans="1:5" x14ac:dyDescent="0.25">
      <c r="A5" s="5" t="s">
        <v>50</v>
      </c>
      <c r="B5" s="5">
        <v>7</v>
      </c>
      <c r="C5" s="5">
        <v>7</v>
      </c>
      <c r="D5" s="6" t="b">
        <v>0</v>
      </c>
      <c r="E5" s="5" t="s">
        <v>121</v>
      </c>
    </row>
    <row r="6" spans="1:5" x14ac:dyDescent="0.25">
      <c r="A6" s="5" t="s">
        <v>51</v>
      </c>
      <c r="B6" s="5">
        <v>8</v>
      </c>
      <c r="C6" s="5">
        <v>11</v>
      </c>
      <c r="D6" s="6" t="b">
        <v>1</v>
      </c>
      <c r="E6" s="5" t="s">
        <v>120</v>
      </c>
    </row>
    <row r="7" spans="1:5" x14ac:dyDescent="0.25">
      <c r="A7" s="5" t="s">
        <v>52</v>
      </c>
      <c r="B7" s="5">
        <v>12</v>
      </c>
      <c r="C7" s="5">
        <v>22</v>
      </c>
      <c r="D7" s="6" t="b">
        <v>1</v>
      </c>
      <c r="E7" s="5" t="s">
        <v>120</v>
      </c>
    </row>
    <row r="8" spans="1:5" x14ac:dyDescent="0.25">
      <c r="A8" s="5" t="s">
        <v>53</v>
      </c>
      <c r="B8" s="5">
        <v>23</v>
      </c>
      <c r="C8" s="5">
        <v>27</v>
      </c>
      <c r="D8" s="6" t="b">
        <v>1</v>
      </c>
      <c r="E8" s="5" t="s">
        <v>120</v>
      </c>
    </row>
    <row r="9" spans="1:5" x14ac:dyDescent="0.25">
      <c r="A9" s="5" t="s">
        <v>54</v>
      </c>
      <c r="B9" s="5">
        <v>28</v>
      </c>
      <c r="C9" s="5">
        <v>29</v>
      </c>
      <c r="D9" s="6" t="b">
        <v>1</v>
      </c>
      <c r="E9" s="5" t="s">
        <v>120</v>
      </c>
    </row>
    <row r="10" spans="1:5" x14ac:dyDescent="0.25">
      <c r="A10" s="5" t="s">
        <v>55</v>
      </c>
      <c r="B10" s="5">
        <v>30</v>
      </c>
      <c r="C10" s="5">
        <v>31</v>
      </c>
      <c r="D10" s="6" t="b">
        <v>1</v>
      </c>
      <c r="E10" s="5" t="s">
        <v>120</v>
      </c>
    </row>
    <row r="11" spans="1:5" x14ac:dyDescent="0.25">
      <c r="A11" s="5" t="s">
        <v>56</v>
      </c>
      <c r="B11" s="5">
        <v>32</v>
      </c>
      <c r="C11" s="5"/>
      <c r="D11" s="6" t="b">
        <v>0</v>
      </c>
      <c r="E11" s="5" t="s">
        <v>121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BD33A-BB37-49B8-9B25-A5461FD6C75F}">
  <sheetPr codeName="Sheet4"/>
  <dimension ref="A1:D11"/>
  <sheetViews>
    <sheetView workbookViewId="0">
      <selection activeCell="E1" sqref="E1:E1048576"/>
    </sheetView>
  </sheetViews>
  <sheetFormatPr defaultRowHeight="15" x14ac:dyDescent="0.25"/>
  <cols>
    <col min="1" max="1" width="16.85546875" customWidth="1"/>
  </cols>
  <sheetData>
    <row r="1" spans="1:4" x14ac:dyDescent="0.25">
      <c r="A1" s="5" t="s">
        <v>0</v>
      </c>
      <c r="B1" s="5" t="s">
        <v>1</v>
      </c>
      <c r="C1" s="5" t="s">
        <v>22</v>
      </c>
      <c r="D1" s="5" t="s">
        <v>4</v>
      </c>
    </row>
    <row r="2" spans="1:4" x14ac:dyDescent="0.25">
      <c r="A2" s="5" t="s">
        <v>43</v>
      </c>
      <c r="B2" s="5">
        <v>1</v>
      </c>
      <c r="C2" s="5">
        <v>5</v>
      </c>
      <c r="D2" s="6" t="b">
        <v>1</v>
      </c>
    </row>
    <row r="3" spans="1:4" x14ac:dyDescent="0.25">
      <c r="A3" s="5" t="s">
        <v>44</v>
      </c>
      <c r="B3" s="5">
        <v>6</v>
      </c>
      <c r="C3" s="5">
        <v>6</v>
      </c>
      <c r="D3" s="6" t="b">
        <v>1</v>
      </c>
    </row>
    <row r="4" spans="1:4" x14ac:dyDescent="0.25">
      <c r="A4" s="5" t="s">
        <v>45</v>
      </c>
      <c r="B4" s="5">
        <v>7</v>
      </c>
      <c r="C4" s="5">
        <v>7</v>
      </c>
      <c r="D4" s="6" t="b">
        <v>0</v>
      </c>
    </row>
    <row r="5" spans="1:4" x14ac:dyDescent="0.25">
      <c r="A5" s="5" t="s">
        <v>46</v>
      </c>
      <c r="B5" s="5">
        <v>8</v>
      </c>
      <c r="C5" s="5">
        <v>9</v>
      </c>
      <c r="D5" s="6" t="b">
        <v>1</v>
      </c>
    </row>
    <row r="6" spans="1:4" x14ac:dyDescent="0.25">
      <c r="A6" s="5" t="s">
        <v>6</v>
      </c>
      <c r="B6" s="5">
        <v>10</v>
      </c>
      <c r="C6" s="5">
        <v>17</v>
      </c>
      <c r="D6" s="6" t="b">
        <v>1</v>
      </c>
    </row>
    <row r="7" spans="1:4" x14ac:dyDescent="0.25">
      <c r="A7" s="5" t="s">
        <v>38</v>
      </c>
      <c r="B7" s="5">
        <v>18</v>
      </c>
      <c r="C7" s="5">
        <v>28</v>
      </c>
      <c r="D7" s="6" t="b">
        <v>1</v>
      </c>
    </row>
    <row r="8" spans="1:4" x14ac:dyDescent="0.25">
      <c r="A8" s="5" t="s">
        <v>39</v>
      </c>
      <c r="B8" s="5">
        <v>29</v>
      </c>
      <c r="C8" s="5">
        <v>29</v>
      </c>
      <c r="D8" s="6" t="b">
        <v>0</v>
      </c>
    </row>
    <row r="9" spans="1:4" x14ac:dyDescent="0.25">
      <c r="A9" s="5" t="s">
        <v>40</v>
      </c>
      <c r="B9" s="5">
        <v>30</v>
      </c>
      <c r="C9" s="5">
        <v>30</v>
      </c>
      <c r="D9" s="6" t="b">
        <v>0</v>
      </c>
    </row>
    <row r="10" spans="1:4" x14ac:dyDescent="0.25">
      <c r="A10" s="5" t="s">
        <v>41</v>
      </c>
      <c r="B10" s="5">
        <v>31</v>
      </c>
      <c r="C10" s="5">
        <v>31</v>
      </c>
      <c r="D10" s="6" t="b">
        <v>0</v>
      </c>
    </row>
    <row r="11" spans="1:4" x14ac:dyDescent="0.25">
      <c r="A11" s="5" t="s">
        <v>42</v>
      </c>
      <c r="B11" s="5">
        <v>32</v>
      </c>
      <c r="C11" s="5">
        <v>32</v>
      </c>
      <c r="D11" s="6" t="b">
        <v>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F5C67-D354-4E7B-9A40-D20018B67189}">
  <sheetPr codeName="Sheet5"/>
  <dimension ref="A1:D25"/>
  <sheetViews>
    <sheetView workbookViewId="0">
      <selection activeCell="G13" sqref="G13"/>
    </sheetView>
  </sheetViews>
  <sheetFormatPr defaultRowHeight="15" x14ac:dyDescent="0.25"/>
  <cols>
    <col min="1" max="1" width="17.7109375" customWidth="1"/>
  </cols>
  <sheetData>
    <row r="1" spans="1:4" x14ac:dyDescent="0.25">
      <c r="A1" s="5" t="s">
        <v>0</v>
      </c>
      <c r="B1" s="5" t="s">
        <v>1</v>
      </c>
      <c r="C1" s="5" t="s">
        <v>22</v>
      </c>
      <c r="D1" s="5" t="s">
        <v>4</v>
      </c>
    </row>
    <row r="2" spans="1:4" x14ac:dyDescent="0.25">
      <c r="A2" s="5" t="s">
        <v>73</v>
      </c>
      <c r="B2" s="5">
        <v>1</v>
      </c>
      <c r="C2" s="5">
        <v>4</v>
      </c>
      <c r="D2" s="6" t="b">
        <v>1</v>
      </c>
    </row>
    <row r="3" spans="1:4" x14ac:dyDescent="0.25">
      <c r="A3" s="5" t="s">
        <v>74</v>
      </c>
      <c r="B3" s="5">
        <v>5</v>
      </c>
      <c r="C3" s="5">
        <v>7</v>
      </c>
      <c r="D3" s="6" t="b">
        <v>1</v>
      </c>
    </row>
    <row r="4" spans="1:4" x14ac:dyDescent="0.25">
      <c r="A4" s="5" t="s">
        <v>75</v>
      </c>
      <c r="B4" s="5">
        <v>8</v>
      </c>
      <c r="C4" s="5">
        <v>10</v>
      </c>
      <c r="D4" s="6" t="b">
        <v>1</v>
      </c>
    </row>
    <row r="5" spans="1:4" x14ac:dyDescent="0.25">
      <c r="A5" s="5" t="s">
        <v>76</v>
      </c>
      <c r="B5" s="5">
        <v>11</v>
      </c>
      <c r="C5" s="5">
        <v>11</v>
      </c>
      <c r="D5" s="6" t="b">
        <v>0</v>
      </c>
    </row>
    <row r="6" spans="1:4" x14ac:dyDescent="0.25">
      <c r="A6" s="5" t="s">
        <v>77</v>
      </c>
      <c r="B6" s="5">
        <v>12</v>
      </c>
      <c r="C6" s="5">
        <v>12</v>
      </c>
      <c r="D6" s="6" t="b">
        <v>0</v>
      </c>
    </row>
    <row r="7" spans="1:4" x14ac:dyDescent="0.25">
      <c r="A7" s="5" t="s">
        <v>78</v>
      </c>
      <c r="B7" s="5">
        <v>13</v>
      </c>
      <c r="C7" s="5">
        <v>13</v>
      </c>
      <c r="D7" s="6" t="b">
        <v>0</v>
      </c>
    </row>
    <row r="8" spans="1:4" x14ac:dyDescent="0.25">
      <c r="A8" s="5" t="s">
        <v>79</v>
      </c>
      <c r="B8" s="5">
        <v>14</v>
      </c>
      <c r="C8" s="5">
        <v>14</v>
      </c>
      <c r="D8" s="6" t="b">
        <v>0</v>
      </c>
    </row>
    <row r="9" spans="1:4" x14ac:dyDescent="0.25">
      <c r="A9" s="5" t="s">
        <v>80</v>
      </c>
      <c r="B9" s="5">
        <v>15</v>
      </c>
      <c r="C9" s="5">
        <v>15</v>
      </c>
      <c r="D9" s="6" t="b">
        <v>0</v>
      </c>
    </row>
    <row r="10" spans="1:4" x14ac:dyDescent="0.25">
      <c r="A10" s="5" t="s">
        <v>81</v>
      </c>
      <c r="B10" s="5">
        <v>16</v>
      </c>
      <c r="C10" s="5">
        <v>16</v>
      </c>
      <c r="D10" s="6" t="b">
        <v>1</v>
      </c>
    </row>
    <row r="11" spans="1:4" x14ac:dyDescent="0.25">
      <c r="A11" s="5" t="s">
        <v>82</v>
      </c>
      <c r="B11" s="5">
        <v>17</v>
      </c>
      <c r="C11" s="5">
        <v>17</v>
      </c>
      <c r="D11" s="6" t="b">
        <v>1</v>
      </c>
    </row>
    <row r="12" spans="1:4" x14ac:dyDescent="0.25">
      <c r="A12" s="5" t="s">
        <v>83</v>
      </c>
      <c r="B12" s="5">
        <v>18</v>
      </c>
      <c r="C12" s="5">
        <v>18</v>
      </c>
      <c r="D12" s="6" t="b">
        <v>0</v>
      </c>
    </row>
    <row r="13" spans="1:4" ht="30" x14ac:dyDescent="0.25">
      <c r="A13" s="7" t="s">
        <v>84</v>
      </c>
      <c r="B13" s="5">
        <v>19</v>
      </c>
      <c r="C13" s="5">
        <v>19</v>
      </c>
      <c r="D13" s="6" t="b">
        <v>0</v>
      </c>
    </row>
    <row r="14" spans="1:4" x14ac:dyDescent="0.25">
      <c r="A14" s="5" t="s">
        <v>85</v>
      </c>
      <c r="B14" s="5">
        <v>20</v>
      </c>
      <c r="C14" s="5">
        <v>20</v>
      </c>
      <c r="D14" s="6" t="b">
        <v>1</v>
      </c>
    </row>
    <row r="15" spans="1:4" x14ac:dyDescent="0.25">
      <c r="A15" s="5" t="s">
        <v>66</v>
      </c>
      <c r="B15" s="5">
        <v>21</v>
      </c>
      <c r="C15" s="5">
        <v>21</v>
      </c>
      <c r="D15" s="6" t="b">
        <v>0</v>
      </c>
    </row>
    <row r="16" spans="1:4" x14ac:dyDescent="0.25">
      <c r="A16" s="5" t="s">
        <v>67</v>
      </c>
      <c r="B16" s="5">
        <v>22</v>
      </c>
      <c r="C16" s="5">
        <v>22</v>
      </c>
      <c r="D16" s="6" t="b">
        <v>0</v>
      </c>
    </row>
    <row r="17" spans="1:4" x14ac:dyDescent="0.25">
      <c r="A17" s="5" t="s">
        <v>68</v>
      </c>
      <c r="B17" s="5">
        <v>23</v>
      </c>
      <c r="C17" s="5">
        <v>23</v>
      </c>
      <c r="D17" s="6" t="b">
        <v>1</v>
      </c>
    </row>
    <row r="18" spans="1:4" x14ac:dyDescent="0.25">
      <c r="A18" s="5" t="s">
        <v>69</v>
      </c>
      <c r="B18" s="5">
        <v>24</v>
      </c>
      <c r="C18" s="5">
        <v>24</v>
      </c>
      <c r="D18" s="6" t="b">
        <v>0</v>
      </c>
    </row>
    <row r="19" spans="1:4" ht="30" x14ac:dyDescent="0.25">
      <c r="A19" s="7" t="s">
        <v>70</v>
      </c>
      <c r="B19" s="5">
        <v>25</v>
      </c>
      <c r="C19" s="5">
        <v>25</v>
      </c>
      <c r="D19" s="6" t="b">
        <v>0</v>
      </c>
    </row>
    <row r="20" spans="1:4" x14ac:dyDescent="0.25">
      <c r="A20" s="5" t="s">
        <v>71</v>
      </c>
      <c r="B20" s="5">
        <v>26</v>
      </c>
      <c r="C20" s="5">
        <v>26</v>
      </c>
      <c r="D20" s="6" t="b">
        <v>0</v>
      </c>
    </row>
    <row r="21" spans="1:4" x14ac:dyDescent="0.25">
      <c r="A21" s="5" t="s">
        <v>44</v>
      </c>
      <c r="B21" s="5">
        <v>27</v>
      </c>
      <c r="C21" s="5">
        <v>27</v>
      </c>
      <c r="D21" s="6" t="b">
        <v>0</v>
      </c>
    </row>
    <row r="22" spans="1:4" x14ac:dyDescent="0.25">
      <c r="A22" s="5" t="s">
        <v>72</v>
      </c>
      <c r="B22" s="5">
        <v>28</v>
      </c>
      <c r="C22" s="5">
        <v>28</v>
      </c>
      <c r="D22" s="6" t="b">
        <v>0</v>
      </c>
    </row>
    <row r="23" spans="1:4" x14ac:dyDescent="0.25">
      <c r="A23" s="5" t="s">
        <v>64</v>
      </c>
      <c r="B23" s="5">
        <v>29</v>
      </c>
      <c r="C23" s="5">
        <v>30</v>
      </c>
      <c r="D23" s="6" t="b">
        <v>0</v>
      </c>
    </row>
    <row r="24" spans="1:4" x14ac:dyDescent="0.25">
      <c r="A24" s="5" t="s">
        <v>55</v>
      </c>
      <c r="B24" s="5">
        <v>31</v>
      </c>
      <c r="C24" s="5">
        <v>31</v>
      </c>
      <c r="D24" s="6" t="b">
        <v>0</v>
      </c>
    </row>
    <row r="25" spans="1:4" x14ac:dyDescent="0.25">
      <c r="A25" s="5" t="s">
        <v>65</v>
      </c>
      <c r="B25" s="5">
        <v>32</v>
      </c>
      <c r="C25" s="5">
        <v>32</v>
      </c>
      <c r="D25" s="6" t="b"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BD87E-5960-4116-BE08-4572359F750C}">
  <sheetPr codeName="Sheet6"/>
  <dimension ref="A1:D27"/>
  <sheetViews>
    <sheetView workbookViewId="0">
      <selection activeCell="E1" sqref="E1:E1048576"/>
    </sheetView>
  </sheetViews>
  <sheetFormatPr defaultRowHeight="15" x14ac:dyDescent="0.25"/>
  <cols>
    <col min="1" max="1" width="14.7109375" customWidth="1"/>
  </cols>
  <sheetData>
    <row r="1" spans="1:4" x14ac:dyDescent="0.25">
      <c r="A1" s="5" t="s">
        <v>0</v>
      </c>
      <c r="B1" s="5" t="s">
        <v>1</v>
      </c>
      <c r="C1" s="5" t="s">
        <v>22</v>
      </c>
      <c r="D1" s="5" t="s">
        <v>4</v>
      </c>
    </row>
    <row r="2" spans="1:4" x14ac:dyDescent="0.25">
      <c r="A2" s="5" t="s">
        <v>38</v>
      </c>
      <c r="B2" s="5">
        <v>1</v>
      </c>
      <c r="C2" s="5">
        <v>2</v>
      </c>
      <c r="D2" s="6" t="b">
        <v>1</v>
      </c>
    </row>
    <row r="3" spans="1:4" x14ac:dyDescent="0.25">
      <c r="A3" s="5" t="s">
        <v>43</v>
      </c>
      <c r="B3" s="5">
        <v>3</v>
      </c>
      <c r="C3" s="5">
        <v>5</v>
      </c>
      <c r="D3" s="6" t="b">
        <v>0</v>
      </c>
    </row>
    <row r="4" spans="1:4" x14ac:dyDescent="0.25">
      <c r="A4" s="5" t="s">
        <v>23</v>
      </c>
      <c r="B4" s="5">
        <v>6</v>
      </c>
      <c r="C4" s="5">
        <v>7</v>
      </c>
      <c r="D4" s="6" t="b">
        <v>1</v>
      </c>
    </row>
    <row r="5" spans="1:4" x14ac:dyDescent="0.25">
      <c r="A5" s="5" t="s">
        <v>46</v>
      </c>
      <c r="B5" s="5">
        <v>8</v>
      </c>
      <c r="C5" s="5">
        <v>8</v>
      </c>
      <c r="D5" s="6" t="b">
        <v>0</v>
      </c>
    </row>
    <row r="6" spans="1:4" x14ac:dyDescent="0.25">
      <c r="A6" s="5" t="s">
        <v>21</v>
      </c>
      <c r="B6" s="5">
        <v>9</v>
      </c>
      <c r="C6" s="5">
        <v>9</v>
      </c>
      <c r="D6" s="6" t="b">
        <v>0</v>
      </c>
    </row>
    <row r="7" spans="1:4" x14ac:dyDescent="0.25">
      <c r="A7" s="5" t="s">
        <v>38</v>
      </c>
      <c r="B7" s="5">
        <v>10</v>
      </c>
      <c r="C7" s="5">
        <v>10</v>
      </c>
      <c r="D7" s="6" t="b">
        <v>0</v>
      </c>
    </row>
    <row r="8" spans="1:4" x14ac:dyDescent="0.25">
      <c r="A8" s="5" t="s">
        <v>86</v>
      </c>
      <c r="B8" s="5">
        <v>11</v>
      </c>
      <c r="C8" s="5">
        <v>11</v>
      </c>
      <c r="D8" s="6" t="b">
        <v>0</v>
      </c>
    </row>
    <row r="9" spans="1:4" x14ac:dyDescent="0.25">
      <c r="A9" s="5" t="s">
        <v>36</v>
      </c>
      <c r="B9" s="5">
        <v>12</v>
      </c>
      <c r="C9" s="5">
        <v>12</v>
      </c>
      <c r="D9" s="6" t="b">
        <v>1</v>
      </c>
    </row>
    <row r="10" spans="1:4" x14ac:dyDescent="0.25">
      <c r="A10" s="5" t="s">
        <v>3</v>
      </c>
      <c r="B10" s="5">
        <v>13</v>
      </c>
      <c r="C10" s="5">
        <v>13</v>
      </c>
      <c r="D10" s="6" t="b">
        <v>1</v>
      </c>
    </row>
    <row r="11" spans="1:4" x14ac:dyDescent="0.25">
      <c r="A11" s="5" t="s">
        <v>12</v>
      </c>
      <c r="B11" s="5">
        <v>14</v>
      </c>
      <c r="C11" s="5">
        <v>14</v>
      </c>
      <c r="D11" s="6" t="b">
        <v>0</v>
      </c>
    </row>
    <row r="12" spans="1:4" x14ac:dyDescent="0.25">
      <c r="A12" s="5" t="s">
        <v>87</v>
      </c>
      <c r="B12" s="5">
        <v>15</v>
      </c>
      <c r="C12" s="5">
        <v>15</v>
      </c>
      <c r="D12" s="6" t="b">
        <v>1</v>
      </c>
    </row>
    <row r="13" spans="1:4" x14ac:dyDescent="0.25">
      <c r="A13" s="7" t="s">
        <v>49</v>
      </c>
      <c r="B13" s="5">
        <v>16</v>
      </c>
      <c r="C13" s="5">
        <v>16</v>
      </c>
      <c r="D13" s="6" t="b">
        <v>1</v>
      </c>
    </row>
    <row r="14" spans="1:4" x14ac:dyDescent="0.25">
      <c r="A14" s="5" t="s">
        <v>48</v>
      </c>
      <c r="B14" s="5">
        <v>17</v>
      </c>
      <c r="C14" s="5">
        <v>17</v>
      </c>
      <c r="D14" s="6" t="b">
        <v>1</v>
      </c>
    </row>
    <row r="15" spans="1:4" x14ac:dyDescent="0.25">
      <c r="A15" s="5" t="s">
        <v>63</v>
      </c>
      <c r="B15" s="5">
        <v>18</v>
      </c>
      <c r="C15" s="5">
        <v>18</v>
      </c>
      <c r="D15" s="6" t="b">
        <v>0</v>
      </c>
    </row>
    <row r="16" spans="1:4" x14ac:dyDescent="0.25">
      <c r="A16" s="5" t="s">
        <v>88</v>
      </c>
      <c r="B16" s="5">
        <v>19</v>
      </c>
      <c r="C16" s="5">
        <v>19</v>
      </c>
      <c r="D16" s="6" t="b">
        <v>0</v>
      </c>
    </row>
    <row r="17" spans="1:4" x14ac:dyDescent="0.25">
      <c r="A17" s="5" t="s">
        <v>82</v>
      </c>
      <c r="B17" s="5">
        <v>20</v>
      </c>
      <c r="C17" s="5">
        <v>20</v>
      </c>
      <c r="D17" s="6" t="b">
        <v>0</v>
      </c>
    </row>
    <row r="18" spans="1:4" x14ac:dyDescent="0.25">
      <c r="A18" s="5" t="s">
        <v>36</v>
      </c>
      <c r="B18" s="5">
        <v>21</v>
      </c>
      <c r="C18" s="5">
        <v>21</v>
      </c>
      <c r="D18" s="6" t="b">
        <v>0</v>
      </c>
    </row>
    <row r="19" spans="1:4" x14ac:dyDescent="0.25">
      <c r="A19" s="7" t="s">
        <v>75</v>
      </c>
      <c r="B19" s="5">
        <v>22</v>
      </c>
      <c r="C19" s="5">
        <v>22</v>
      </c>
      <c r="D19" s="6" t="b">
        <v>0</v>
      </c>
    </row>
    <row r="20" spans="1:4" x14ac:dyDescent="0.25">
      <c r="A20" s="5" t="s">
        <v>12</v>
      </c>
      <c r="B20" s="5">
        <v>23</v>
      </c>
      <c r="C20" s="5">
        <v>23</v>
      </c>
      <c r="D20" s="6" t="b">
        <v>0</v>
      </c>
    </row>
    <row r="21" spans="1:4" x14ac:dyDescent="0.25">
      <c r="A21" s="5" t="s">
        <v>74</v>
      </c>
      <c r="B21" s="5">
        <v>24</v>
      </c>
      <c r="C21" s="5">
        <v>24</v>
      </c>
      <c r="D21" s="6" t="b">
        <v>0</v>
      </c>
    </row>
    <row r="22" spans="1:4" x14ac:dyDescent="0.25">
      <c r="A22" s="5" t="s">
        <v>48</v>
      </c>
      <c r="B22" s="5">
        <v>25</v>
      </c>
      <c r="C22" s="5">
        <v>25</v>
      </c>
      <c r="D22" s="6" t="b">
        <v>0</v>
      </c>
    </row>
    <row r="23" spans="1:4" x14ac:dyDescent="0.25">
      <c r="A23" s="5" t="s">
        <v>42</v>
      </c>
      <c r="B23" s="5">
        <v>26</v>
      </c>
      <c r="C23" s="5">
        <v>26</v>
      </c>
      <c r="D23" s="6" t="b">
        <v>0</v>
      </c>
    </row>
    <row r="24" spans="1:4" x14ac:dyDescent="0.25">
      <c r="A24" s="5" t="s">
        <v>3</v>
      </c>
      <c r="B24" s="5">
        <v>27</v>
      </c>
      <c r="C24" s="5">
        <v>28</v>
      </c>
      <c r="D24" s="6" t="b">
        <v>1</v>
      </c>
    </row>
    <row r="25" spans="1:4" x14ac:dyDescent="0.25">
      <c r="A25" s="5" t="s">
        <v>42</v>
      </c>
      <c r="B25" s="5">
        <v>29</v>
      </c>
      <c r="C25" s="5">
        <v>30</v>
      </c>
      <c r="D25" s="6" t="b">
        <v>1</v>
      </c>
    </row>
    <row r="26" spans="1:4" x14ac:dyDescent="0.25">
      <c r="A26" s="5" t="s">
        <v>26</v>
      </c>
      <c r="B26" s="5">
        <v>31</v>
      </c>
      <c r="C26" s="5">
        <v>31</v>
      </c>
      <c r="D26" s="6" t="b">
        <v>1</v>
      </c>
    </row>
    <row r="27" spans="1:4" x14ac:dyDescent="0.25">
      <c r="A27" s="5" t="s">
        <v>42</v>
      </c>
      <c r="B27" s="5">
        <v>32</v>
      </c>
      <c r="C27" s="5">
        <v>32</v>
      </c>
      <c r="D27" s="6" t="b"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DFF9E-ACE9-4513-A9D5-EECD0FE3D712}">
  <sheetPr codeName="Sheet7"/>
  <dimension ref="A1:D45"/>
  <sheetViews>
    <sheetView workbookViewId="0">
      <selection activeCell="E1" sqref="E1:E1048576"/>
    </sheetView>
  </sheetViews>
  <sheetFormatPr defaultRowHeight="15" x14ac:dyDescent="0.25"/>
  <cols>
    <col min="1" max="1" width="19.42578125" customWidth="1"/>
  </cols>
  <sheetData>
    <row r="1" spans="1:4" x14ac:dyDescent="0.25">
      <c r="A1" s="5" t="s">
        <v>0</v>
      </c>
      <c r="B1" s="5" t="s">
        <v>1</v>
      </c>
      <c r="C1" s="5" t="s">
        <v>22</v>
      </c>
      <c r="D1" s="5" t="s">
        <v>4</v>
      </c>
    </row>
    <row r="2" spans="1:4" x14ac:dyDescent="0.25">
      <c r="A2" s="5" t="s">
        <v>19</v>
      </c>
      <c r="B2" s="5">
        <v>1</v>
      </c>
      <c r="C2" s="5">
        <v>2</v>
      </c>
      <c r="D2" s="6" t="b">
        <v>0</v>
      </c>
    </row>
    <row r="3" spans="1:4" x14ac:dyDescent="0.25">
      <c r="A3" s="5" t="s">
        <v>53</v>
      </c>
      <c r="B3" s="5">
        <v>3</v>
      </c>
      <c r="C3" s="5">
        <v>6</v>
      </c>
      <c r="D3" s="6" t="b">
        <v>1</v>
      </c>
    </row>
    <row r="4" spans="1:4" x14ac:dyDescent="0.25">
      <c r="A4" s="5" t="s">
        <v>49</v>
      </c>
      <c r="B4" s="5">
        <v>7</v>
      </c>
      <c r="C4" s="5">
        <v>8</v>
      </c>
      <c r="D4" s="6" t="b">
        <v>1</v>
      </c>
    </row>
    <row r="5" spans="1:4" x14ac:dyDescent="0.25">
      <c r="A5" s="5" t="s">
        <v>54</v>
      </c>
      <c r="B5" s="5">
        <v>9</v>
      </c>
      <c r="C5" s="5">
        <v>9</v>
      </c>
      <c r="D5" s="6" t="b">
        <v>0</v>
      </c>
    </row>
    <row r="6" spans="1:4" x14ac:dyDescent="0.25">
      <c r="A6" s="5" t="s">
        <v>85</v>
      </c>
      <c r="B6" s="5">
        <v>10</v>
      </c>
      <c r="C6" s="5">
        <v>10</v>
      </c>
      <c r="D6" s="6" t="b">
        <v>1</v>
      </c>
    </row>
    <row r="7" spans="1:4" x14ac:dyDescent="0.25">
      <c r="A7" s="5" t="s">
        <v>92</v>
      </c>
      <c r="B7" s="5">
        <v>11</v>
      </c>
      <c r="C7" s="5">
        <v>12</v>
      </c>
      <c r="D7" s="6" t="b">
        <v>1</v>
      </c>
    </row>
    <row r="8" spans="1:4" x14ac:dyDescent="0.25">
      <c r="A8" s="5" t="s">
        <v>93</v>
      </c>
      <c r="B8" s="5">
        <v>13</v>
      </c>
      <c r="C8" s="5">
        <v>14</v>
      </c>
      <c r="D8" s="6" t="b">
        <v>0</v>
      </c>
    </row>
    <row r="9" spans="1:4" x14ac:dyDescent="0.25">
      <c r="A9" s="5" t="s">
        <v>6</v>
      </c>
      <c r="B9" s="5">
        <v>15</v>
      </c>
      <c r="C9" s="5">
        <v>15</v>
      </c>
      <c r="D9" s="6" t="b">
        <v>1</v>
      </c>
    </row>
    <row r="10" spans="1:4" x14ac:dyDescent="0.25">
      <c r="A10" s="5" t="s">
        <v>109</v>
      </c>
      <c r="B10" s="5">
        <v>16</v>
      </c>
      <c r="C10" s="5">
        <v>16</v>
      </c>
      <c r="D10" s="6" t="b">
        <v>1</v>
      </c>
    </row>
    <row r="11" spans="1:4" x14ac:dyDescent="0.25">
      <c r="A11" s="5" t="s">
        <v>94</v>
      </c>
      <c r="B11" s="5">
        <v>17</v>
      </c>
      <c r="C11" s="5">
        <v>17</v>
      </c>
      <c r="D11" s="6" t="b">
        <v>0</v>
      </c>
    </row>
    <row r="12" spans="1:4" x14ac:dyDescent="0.25">
      <c r="A12" s="5" t="s">
        <v>87</v>
      </c>
      <c r="B12" s="5">
        <v>18</v>
      </c>
      <c r="C12" s="5">
        <v>18</v>
      </c>
      <c r="D12" s="6" t="b">
        <v>0</v>
      </c>
    </row>
    <row r="13" spans="1:4" x14ac:dyDescent="0.25">
      <c r="A13" s="5" t="s">
        <v>95</v>
      </c>
      <c r="B13" s="5">
        <v>19</v>
      </c>
      <c r="C13" s="5">
        <v>19</v>
      </c>
      <c r="D13" s="6" t="b">
        <v>1</v>
      </c>
    </row>
    <row r="14" spans="1:4" x14ac:dyDescent="0.25">
      <c r="A14" s="5" t="s">
        <v>34</v>
      </c>
      <c r="B14" s="5">
        <v>20</v>
      </c>
      <c r="C14" s="5">
        <v>20</v>
      </c>
      <c r="D14" s="6" t="b">
        <v>0</v>
      </c>
    </row>
    <row r="15" spans="1:4" x14ac:dyDescent="0.25">
      <c r="A15" s="5" t="s">
        <v>92</v>
      </c>
      <c r="B15" s="5">
        <v>21</v>
      </c>
      <c r="C15" s="5">
        <v>21</v>
      </c>
      <c r="D15" s="6" t="b">
        <v>0</v>
      </c>
    </row>
    <row r="16" spans="1:4" x14ac:dyDescent="0.25">
      <c r="A16" s="5" t="s">
        <v>38</v>
      </c>
      <c r="B16" s="5">
        <v>22</v>
      </c>
      <c r="C16" s="5">
        <v>22</v>
      </c>
      <c r="D16" s="6" t="b">
        <v>1</v>
      </c>
    </row>
    <row r="17" spans="1:4" x14ac:dyDescent="0.25">
      <c r="A17" s="5" t="s">
        <v>89</v>
      </c>
      <c r="B17" s="5">
        <v>23</v>
      </c>
      <c r="C17" s="5">
        <v>23</v>
      </c>
      <c r="D17" s="6" t="b">
        <v>0</v>
      </c>
    </row>
    <row r="18" spans="1:4" x14ac:dyDescent="0.25">
      <c r="A18" s="5" t="s">
        <v>90</v>
      </c>
      <c r="B18" s="5">
        <v>24</v>
      </c>
      <c r="C18" s="5">
        <v>24</v>
      </c>
      <c r="D18" s="6" t="b">
        <v>0</v>
      </c>
    </row>
    <row r="19" spans="1:4" x14ac:dyDescent="0.25">
      <c r="A19" s="5" t="s">
        <v>91</v>
      </c>
      <c r="B19" s="5">
        <v>25</v>
      </c>
      <c r="C19" s="5">
        <v>25</v>
      </c>
      <c r="D19" s="6" t="b">
        <v>0</v>
      </c>
    </row>
    <row r="20" spans="1:4" x14ac:dyDescent="0.25">
      <c r="A20" s="5" t="s">
        <v>96</v>
      </c>
      <c r="B20" s="5">
        <v>26</v>
      </c>
      <c r="C20" s="5">
        <v>26</v>
      </c>
      <c r="D20" s="6" t="b">
        <v>0</v>
      </c>
    </row>
    <row r="21" spans="1:4" x14ac:dyDescent="0.25">
      <c r="A21" s="5" t="s">
        <v>110</v>
      </c>
      <c r="B21" s="5">
        <v>27</v>
      </c>
      <c r="C21" s="5">
        <v>27</v>
      </c>
      <c r="D21" s="6" t="b">
        <v>0</v>
      </c>
    </row>
    <row r="22" spans="1:4" x14ac:dyDescent="0.25">
      <c r="A22" s="5" t="s">
        <v>23</v>
      </c>
      <c r="B22" s="5">
        <v>28</v>
      </c>
      <c r="C22" s="5">
        <v>28</v>
      </c>
      <c r="D22" s="6" t="b">
        <v>1</v>
      </c>
    </row>
    <row r="23" spans="1:4" x14ac:dyDescent="0.25">
      <c r="A23" s="5" t="s">
        <v>73</v>
      </c>
      <c r="B23" s="5">
        <v>29</v>
      </c>
      <c r="C23" s="5">
        <v>31</v>
      </c>
      <c r="D23" s="6" t="b">
        <v>1</v>
      </c>
    </row>
    <row r="24" spans="1:4" x14ac:dyDescent="0.25">
      <c r="A24" s="5" t="s">
        <v>6</v>
      </c>
      <c r="B24" s="5">
        <v>32</v>
      </c>
      <c r="C24" s="5">
        <v>32</v>
      </c>
      <c r="D24" s="6" t="b">
        <v>0</v>
      </c>
    </row>
    <row r="25" spans="1:4" hidden="1" x14ac:dyDescent="0.25">
      <c r="A25" s="5"/>
      <c r="B25" s="5"/>
      <c r="C25" s="5"/>
      <c r="D25" s="5"/>
    </row>
    <row r="26" spans="1:4" hidden="1" x14ac:dyDescent="0.25">
      <c r="A26" s="5"/>
      <c r="B26" s="5"/>
      <c r="C26" s="5"/>
      <c r="D26" s="5"/>
    </row>
    <row r="27" spans="1:4" hidden="1" x14ac:dyDescent="0.25">
      <c r="A27" s="5"/>
      <c r="B27" s="5"/>
      <c r="C27" s="5"/>
      <c r="D27" s="5"/>
    </row>
    <row r="28" spans="1:4" hidden="1" x14ac:dyDescent="0.25">
      <c r="A28" s="5"/>
      <c r="B28" s="5"/>
      <c r="C28" s="5"/>
      <c r="D28" s="5"/>
    </row>
    <row r="29" spans="1:4" x14ac:dyDescent="0.25">
      <c r="A29" s="5" t="s">
        <v>111</v>
      </c>
      <c r="B29" s="5">
        <v>33</v>
      </c>
      <c r="C29" s="5">
        <v>33</v>
      </c>
      <c r="D29" s="5">
        <v>0</v>
      </c>
    </row>
    <row r="30" spans="1:4" x14ac:dyDescent="0.25">
      <c r="A30" s="5" t="s">
        <v>112</v>
      </c>
      <c r="B30" s="5">
        <v>34</v>
      </c>
      <c r="C30" s="5">
        <v>34</v>
      </c>
      <c r="D30" s="5">
        <v>0</v>
      </c>
    </row>
    <row r="31" spans="1:4" x14ac:dyDescent="0.25">
      <c r="A31" s="5" t="s">
        <v>94</v>
      </c>
      <c r="B31" s="5">
        <v>35</v>
      </c>
      <c r="C31" s="5">
        <v>35</v>
      </c>
      <c r="D31" s="5"/>
    </row>
    <row r="32" spans="1:4" x14ac:dyDescent="0.25">
      <c r="A32" s="5" t="s">
        <v>114</v>
      </c>
      <c r="B32" s="5">
        <v>36</v>
      </c>
      <c r="C32" s="5">
        <v>36</v>
      </c>
      <c r="D32" s="5"/>
    </row>
    <row r="33" spans="1:4" x14ac:dyDescent="0.25">
      <c r="A33" s="5" t="s">
        <v>53</v>
      </c>
      <c r="B33" s="5">
        <v>37</v>
      </c>
      <c r="C33" s="5">
        <v>37</v>
      </c>
      <c r="D33" s="5"/>
    </row>
    <row r="34" spans="1:4" x14ac:dyDescent="0.25">
      <c r="A34" s="5" t="s">
        <v>109</v>
      </c>
      <c r="B34" s="5">
        <v>38</v>
      </c>
      <c r="C34" s="5">
        <v>38</v>
      </c>
      <c r="D34" s="5"/>
    </row>
    <row r="35" spans="1:4" x14ac:dyDescent="0.25">
      <c r="A35" s="5" t="s">
        <v>49</v>
      </c>
      <c r="B35" s="5">
        <v>39</v>
      </c>
      <c r="C35" s="5">
        <v>39</v>
      </c>
      <c r="D35" s="5"/>
    </row>
    <row r="36" spans="1:4" x14ac:dyDescent="0.25">
      <c r="A36" s="5" t="s">
        <v>25</v>
      </c>
      <c r="B36" s="5">
        <v>40</v>
      </c>
      <c r="C36" s="5">
        <v>40</v>
      </c>
      <c r="D36" s="5"/>
    </row>
    <row r="37" spans="1:4" x14ac:dyDescent="0.25">
      <c r="A37" s="5" t="s">
        <v>68</v>
      </c>
      <c r="B37" s="5">
        <v>41</v>
      </c>
      <c r="C37" s="5">
        <v>41</v>
      </c>
      <c r="D37" s="5"/>
    </row>
    <row r="38" spans="1:4" x14ac:dyDescent="0.25">
      <c r="A38" s="5" t="s">
        <v>43</v>
      </c>
      <c r="B38" s="5">
        <v>42</v>
      </c>
      <c r="C38" s="5">
        <v>42</v>
      </c>
      <c r="D38" s="5"/>
    </row>
    <row r="39" spans="1:4" x14ac:dyDescent="0.25">
      <c r="A39" s="5" t="s">
        <v>117</v>
      </c>
      <c r="B39" s="5">
        <v>43</v>
      </c>
      <c r="C39" s="5">
        <v>48</v>
      </c>
      <c r="D39" s="5"/>
    </row>
    <row r="40" spans="1:4" x14ac:dyDescent="0.25">
      <c r="A40" s="5" t="s">
        <v>118</v>
      </c>
      <c r="B40" s="5">
        <v>49</v>
      </c>
      <c r="C40" s="5">
        <v>51</v>
      </c>
      <c r="D40" s="5"/>
    </row>
    <row r="41" spans="1:4" x14ac:dyDescent="0.25">
      <c r="A41" s="5" t="s">
        <v>115</v>
      </c>
      <c r="B41" s="5">
        <v>52</v>
      </c>
      <c r="C41" s="5"/>
      <c r="D41" s="5"/>
    </row>
    <row r="42" spans="1:4" x14ac:dyDescent="0.25">
      <c r="A42" s="5" t="s">
        <v>116</v>
      </c>
      <c r="B42" s="5">
        <v>53</v>
      </c>
      <c r="C42" s="5"/>
      <c r="D42" s="5"/>
    </row>
    <row r="43" spans="1:4" x14ac:dyDescent="0.25">
      <c r="A43" s="5" t="s">
        <v>119</v>
      </c>
      <c r="B43" s="5">
        <v>54</v>
      </c>
      <c r="C43" s="5"/>
      <c r="D43" s="5"/>
    </row>
    <row r="44" spans="1:4" x14ac:dyDescent="0.25">
      <c r="A44" s="5" t="s">
        <v>85</v>
      </c>
      <c r="B44" s="5">
        <v>55</v>
      </c>
      <c r="C44" s="5"/>
      <c r="D44" s="5"/>
    </row>
    <row r="45" spans="1:4" x14ac:dyDescent="0.25">
      <c r="A45" s="5" t="s">
        <v>38</v>
      </c>
      <c r="B45" s="5">
        <v>56</v>
      </c>
      <c r="C45" s="5"/>
      <c r="D45" s="5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67365-67F3-4244-B6FB-926C2D94BC15}">
  <sheetPr codeName="Sheet8"/>
  <dimension ref="A1:E133"/>
  <sheetViews>
    <sheetView workbookViewId="0">
      <selection activeCell="D23" sqref="D23"/>
    </sheetView>
  </sheetViews>
  <sheetFormatPr defaultRowHeight="15" x14ac:dyDescent="0.25"/>
  <cols>
    <col min="1" max="1" width="14.7109375" customWidth="1"/>
  </cols>
  <sheetData>
    <row r="1" spans="1:5" x14ac:dyDescent="0.25">
      <c r="A1" s="9" t="s">
        <v>0</v>
      </c>
      <c r="B1" s="9" t="s">
        <v>1</v>
      </c>
      <c r="C1" s="9" t="s">
        <v>2</v>
      </c>
      <c r="D1" s="9" t="s">
        <v>4</v>
      </c>
      <c r="E1" s="8" t="s">
        <v>98</v>
      </c>
    </row>
    <row r="2" spans="1:5" x14ac:dyDescent="0.25">
      <c r="A2" s="10" t="s">
        <v>3</v>
      </c>
      <c r="B2" s="10">
        <v>1</v>
      </c>
      <c r="C2" s="10">
        <v>2</v>
      </c>
      <c r="D2" s="11" t="b">
        <v>1</v>
      </c>
      <c r="E2" s="10">
        <v>1</v>
      </c>
    </row>
    <row r="3" spans="1:5" x14ac:dyDescent="0.25">
      <c r="A3" s="10" t="s">
        <v>5</v>
      </c>
      <c r="B3" s="10">
        <v>3</v>
      </c>
      <c r="C3" s="10">
        <v>3</v>
      </c>
      <c r="D3" s="11" t="b">
        <v>0</v>
      </c>
      <c r="E3" s="10">
        <v>1</v>
      </c>
    </row>
    <row r="4" spans="1:5" x14ac:dyDescent="0.25">
      <c r="A4" s="10" t="s">
        <v>6</v>
      </c>
      <c r="B4" s="10">
        <v>4</v>
      </c>
      <c r="C4" s="10">
        <v>5</v>
      </c>
      <c r="D4" s="11" t="b">
        <v>1</v>
      </c>
      <c r="E4" s="10">
        <v>1</v>
      </c>
    </row>
    <row r="5" spans="1:5" x14ac:dyDescent="0.25">
      <c r="A5" s="10" t="s">
        <v>7</v>
      </c>
      <c r="B5" s="10">
        <v>6</v>
      </c>
      <c r="C5" s="10">
        <v>6</v>
      </c>
      <c r="D5" s="11" t="b">
        <v>0</v>
      </c>
      <c r="E5" s="10">
        <v>1</v>
      </c>
    </row>
    <row r="6" spans="1:5" x14ac:dyDescent="0.25">
      <c r="A6" s="10" t="s">
        <v>8</v>
      </c>
      <c r="B6" s="10">
        <v>7</v>
      </c>
      <c r="C6" s="10">
        <v>7</v>
      </c>
      <c r="D6" s="11" t="b">
        <v>0</v>
      </c>
      <c r="E6" s="10">
        <v>1</v>
      </c>
    </row>
    <row r="7" spans="1:5" x14ac:dyDescent="0.25">
      <c r="A7" s="10" t="s">
        <v>9</v>
      </c>
      <c r="B7" s="10">
        <v>8</v>
      </c>
      <c r="C7" s="10">
        <v>9</v>
      </c>
      <c r="D7" s="11" t="b">
        <v>0</v>
      </c>
      <c r="E7" s="10">
        <v>1</v>
      </c>
    </row>
    <row r="8" spans="1:5" x14ac:dyDescent="0.25">
      <c r="A8" s="10" t="s">
        <v>10</v>
      </c>
      <c r="B8" s="10">
        <v>10</v>
      </c>
      <c r="C8" s="10">
        <v>14</v>
      </c>
      <c r="D8" s="11" t="b">
        <v>0</v>
      </c>
      <c r="E8" s="10">
        <v>1</v>
      </c>
    </row>
    <row r="9" spans="1:5" x14ac:dyDescent="0.25">
      <c r="A9" s="10" t="s">
        <v>11</v>
      </c>
      <c r="B9" s="10">
        <v>15</v>
      </c>
      <c r="C9" s="10">
        <v>15</v>
      </c>
      <c r="D9" s="11" t="b">
        <v>0</v>
      </c>
      <c r="E9" s="10">
        <v>1</v>
      </c>
    </row>
    <row r="10" spans="1:5" x14ac:dyDescent="0.25">
      <c r="A10" s="10" t="s">
        <v>12</v>
      </c>
      <c r="B10" s="10">
        <v>16</v>
      </c>
      <c r="C10" s="10">
        <v>17</v>
      </c>
      <c r="D10" s="11" t="b">
        <v>0</v>
      </c>
      <c r="E10" s="10">
        <v>1</v>
      </c>
    </row>
    <row r="11" spans="1:5" x14ac:dyDescent="0.25">
      <c r="A11" s="10" t="s">
        <v>13</v>
      </c>
      <c r="B11" s="10">
        <v>18</v>
      </c>
      <c r="C11" s="10">
        <v>18</v>
      </c>
      <c r="D11" s="11" t="b">
        <v>0</v>
      </c>
      <c r="E11" s="10">
        <v>1</v>
      </c>
    </row>
    <row r="12" spans="1:5" x14ac:dyDescent="0.25">
      <c r="A12" s="10" t="s">
        <v>14</v>
      </c>
      <c r="B12" s="10">
        <v>19</v>
      </c>
      <c r="C12" s="10">
        <v>19</v>
      </c>
      <c r="D12" s="11" t="b">
        <v>0</v>
      </c>
      <c r="E12" s="10">
        <v>1</v>
      </c>
    </row>
    <row r="13" spans="1:5" x14ac:dyDescent="0.25">
      <c r="A13" s="10" t="s">
        <v>15</v>
      </c>
      <c r="B13" s="10">
        <v>20</v>
      </c>
      <c r="C13" s="10">
        <v>20</v>
      </c>
      <c r="D13" s="11" t="b">
        <v>0</v>
      </c>
      <c r="E13" s="10">
        <v>1</v>
      </c>
    </row>
    <row r="14" spans="1:5" x14ac:dyDescent="0.25">
      <c r="A14" s="10" t="s">
        <v>16</v>
      </c>
      <c r="B14" s="10">
        <v>21</v>
      </c>
      <c r="C14" s="10">
        <v>21</v>
      </c>
      <c r="D14" s="11" t="b">
        <v>0</v>
      </c>
      <c r="E14" s="10">
        <v>1</v>
      </c>
    </row>
    <row r="15" spans="1:5" x14ac:dyDescent="0.25">
      <c r="A15" s="10" t="s">
        <v>17</v>
      </c>
      <c r="B15" s="10">
        <v>22</v>
      </c>
      <c r="C15" s="10">
        <v>22</v>
      </c>
      <c r="D15" s="11" t="b">
        <v>0</v>
      </c>
      <c r="E15" s="10">
        <v>1</v>
      </c>
    </row>
    <row r="16" spans="1:5" x14ac:dyDescent="0.25">
      <c r="A16" s="10" t="s">
        <v>18</v>
      </c>
      <c r="B16" s="10">
        <v>23</v>
      </c>
      <c r="C16" s="10">
        <v>23</v>
      </c>
      <c r="D16" s="11" t="b">
        <v>0</v>
      </c>
      <c r="E16" s="10">
        <v>1</v>
      </c>
    </row>
    <row r="17" spans="1:5" x14ac:dyDescent="0.25">
      <c r="A17" s="10" t="s">
        <v>19</v>
      </c>
      <c r="B17" s="10">
        <v>24</v>
      </c>
      <c r="C17" s="10">
        <v>30</v>
      </c>
      <c r="D17" s="11" t="b">
        <v>1</v>
      </c>
      <c r="E17" s="10">
        <v>1</v>
      </c>
    </row>
    <row r="18" spans="1:5" x14ac:dyDescent="0.25">
      <c r="A18" s="10" t="s">
        <v>20</v>
      </c>
      <c r="B18" s="10">
        <v>31</v>
      </c>
      <c r="C18" s="10">
        <v>31</v>
      </c>
      <c r="D18" s="11" t="b">
        <v>0</v>
      </c>
      <c r="E18" s="10">
        <v>1</v>
      </c>
    </row>
    <row r="19" spans="1:5" x14ac:dyDescent="0.25">
      <c r="A19" s="10" t="s">
        <v>21</v>
      </c>
      <c r="B19" s="10">
        <v>32</v>
      </c>
      <c r="C19" s="10">
        <v>32</v>
      </c>
      <c r="D19" s="11" t="b">
        <v>1</v>
      </c>
      <c r="E19" s="10">
        <v>1</v>
      </c>
    </row>
    <row r="20" spans="1:5" x14ac:dyDescent="0.25">
      <c r="A20" s="10" t="s">
        <v>23</v>
      </c>
      <c r="B20" s="10">
        <v>1</v>
      </c>
      <c r="C20" s="10">
        <v>4</v>
      </c>
      <c r="D20" s="11" t="b">
        <v>0</v>
      </c>
      <c r="E20" s="10">
        <v>2</v>
      </c>
    </row>
    <row r="21" spans="1:5" x14ac:dyDescent="0.25">
      <c r="A21" s="10" t="s">
        <v>24</v>
      </c>
      <c r="B21" s="10">
        <v>5</v>
      </c>
      <c r="C21" s="10">
        <v>5</v>
      </c>
      <c r="D21" s="11" t="b">
        <v>0</v>
      </c>
      <c r="E21" s="10">
        <v>2</v>
      </c>
    </row>
    <row r="22" spans="1:5" x14ac:dyDescent="0.25">
      <c r="A22" s="10" t="s">
        <v>58</v>
      </c>
      <c r="B22" s="10">
        <v>6</v>
      </c>
      <c r="C22" s="10">
        <v>7</v>
      </c>
      <c r="D22" s="11" t="b">
        <v>0</v>
      </c>
      <c r="E22" s="10">
        <v>2</v>
      </c>
    </row>
    <row r="23" spans="1:5" x14ac:dyDescent="0.25">
      <c r="A23" s="10" t="s">
        <v>25</v>
      </c>
      <c r="B23" s="10">
        <v>8</v>
      </c>
      <c r="C23" s="10">
        <v>8</v>
      </c>
      <c r="D23" s="11" t="b">
        <v>0</v>
      </c>
      <c r="E23" s="10">
        <v>2</v>
      </c>
    </row>
    <row r="24" spans="1:5" x14ac:dyDescent="0.25">
      <c r="A24" s="10" t="s">
        <v>59</v>
      </c>
      <c r="B24" s="10">
        <v>9</v>
      </c>
      <c r="C24" s="10">
        <v>9</v>
      </c>
      <c r="D24" s="11" t="b">
        <v>0</v>
      </c>
      <c r="E24" s="10">
        <v>2</v>
      </c>
    </row>
    <row r="25" spans="1:5" x14ac:dyDescent="0.25">
      <c r="A25" s="10" t="s">
        <v>60</v>
      </c>
      <c r="B25" s="10">
        <v>10</v>
      </c>
      <c r="C25" s="10">
        <v>10</v>
      </c>
      <c r="D25" s="11" t="b">
        <v>0</v>
      </c>
      <c r="E25" s="10">
        <v>2</v>
      </c>
    </row>
    <row r="26" spans="1:5" x14ac:dyDescent="0.25">
      <c r="A26" s="10" t="s">
        <v>26</v>
      </c>
      <c r="B26" s="10">
        <v>11</v>
      </c>
      <c r="C26" s="10">
        <v>13</v>
      </c>
      <c r="D26" s="11" t="b">
        <v>1</v>
      </c>
      <c r="E26" s="10">
        <v>2</v>
      </c>
    </row>
    <row r="27" spans="1:5" x14ac:dyDescent="0.25">
      <c r="A27" s="10" t="s">
        <v>27</v>
      </c>
      <c r="B27" s="10">
        <v>14</v>
      </c>
      <c r="C27" s="10">
        <v>14</v>
      </c>
      <c r="D27" s="11" t="b">
        <v>0</v>
      </c>
      <c r="E27" s="10">
        <v>2</v>
      </c>
    </row>
    <row r="28" spans="1:5" x14ac:dyDescent="0.25">
      <c r="A28" s="10" t="s">
        <v>28</v>
      </c>
      <c r="B28" s="10">
        <v>15</v>
      </c>
      <c r="C28" s="10">
        <v>15</v>
      </c>
      <c r="D28" s="11" t="b">
        <v>0</v>
      </c>
      <c r="E28" s="10">
        <v>2</v>
      </c>
    </row>
    <row r="29" spans="1:5" x14ac:dyDescent="0.25">
      <c r="A29" s="10" t="s">
        <v>61</v>
      </c>
      <c r="B29" s="10">
        <v>16</v>
      </c>
      <c r="C29" s="10">
        <v>16</v>
      </c>
      <c r="D29" s="11" t="b">
        <v>0</v>
      </c>
      <c r="E29" s="10">
        <v>2</v>
      </c>
    </row>
    <row r="30" spans="1:5" x14ac:dyDescent="0.25">
      <c r="A30" s="10" t="s">
        <v>62</v>
      </c>
      <c r="B30" s="10">
        <v>17</v>
      </c>
      <c r="C30" s="10">
        <v>17</v>
      </c>
      <c r="D30" s="11" t="b">
        <v>0</v>
      </c>
      <c r="E30" s="10">
        <v>2</v>
      </c>
    </row>
    <row r="31" spans="1:5" x14ac:dyDescent="0.25">
      <c r="A31" s="10" t="s">
        <v>29</v>
      </c>
      <c r="B31" s="10">
        <v>18</v>
      </c>
      <c r="C31" s="10">
        <v>18</v>
      </c>
      <c r="D31" s="11" t="b">
        <v>1</v>
      </c>
      <c r="E31" s="10">
        <v>2</v>
      </c>
    </row>
    <row r="32" spans="1:5" x14ac:dyDescent="0.25">
      <c r="A32" s="10" t="s">
        <v>30</v>
      </c>
      <c r="B32" s="10">
        <v>19</v>
      </c>
      <c r="C32" s="10">
        <v>19</v>
      </c>
      <c r="D32" s="11" t="b">
        <v>0</v>
      </c>
      <c r="E32" s="10">
        <v>2</v>
      </c>
    </row>
    <row r="33" spans="1:5" x14ac:dyDescent="0.25">
      <c r="A33" s="10" t="s">
        <v>31</v>
      </c>
      <c r="B33" s="10">
        <v>20</v>
      </c>
      <c r="C33" s="10">
        <v>20</v>
      </c>
      <c r="D33" s="11" t="b">
        <v>0</v>
      </c>
      <c r="E33" s="10">
        <v>2</v>
      </c>
    </row>
    <row r="34" spans="1:5" x14ac:dyDescent="0.25">
      <c r="A34" s="10" t="s">
        <v>32</v>
      </c>
      <c r="B34" s="10">
        <v>21</v>
      </c>
      <c r="C34" s="10">
        <v>21</v>
      </c>
      <c r="D34" s="11" t="b">
        <v>0</v>
      </c>
      <c r="E34" s="10">
        <v>2</v>
      </c>
    </row>
    <row r="35" spans="1:5" x14ac:dyDescent="0.25">
      <c r="A35" s="10" t="s">
        <v>63</v>
      </c>
      <c r="B35" s="10">
        <v>22</v>
      </c>
      <c r="C35" s="10">
        <v>24</v>
      </c>
      <c r="D35" s="11" t="b">
        <v>1</v>
      </c>
      <c r="E35" s="10">
        <v>2</v>
      </c>
    </row>
    <row r="36" spans="1:5" x14ac:dyDescent="0.25">
      <c r="A36" s="10" t="s">
        <v>33</v>
      </c>
      <c r="B36" s="10">
        <v>25</v>
      </c>
      <c r="C36" s="10">
        <v>25</v>
      </c>
      <c r="D36" s="11" t="b">
        <v>0</v>
      </c>
      <c r="E36" s="10">
        <v>2</v>
      </c>
    </row>
    <row r="37" spans="1:5" x14ac:dyDescent="0.25">
      <c r="A37" s="10" t="s">
        <v>34</v>
      </c>
      <c r="B37" s="10">
        <v>26</v>
      </c>
      <c r="C37" s="10">
        <v>28</v>
      </c>
      <c r="D37" s="11" t="b">
        <v>1</v>
      </c>
      <c r="E37" s="10">
        <v>2</v>
      </c>
    </row>
    <row r="38" spans="1:5" x14ac:dyDescent="0.25">
      <c r="A38" s="10" t="s">
        <v>35</v>
      </c>
      <c r="B38" s="10">
        <v>29</v>
      </c>
      <c r="C38" s="10">
        <v>29</v>
      </c>
      <c r="D38" s="11" t="b">
        <v>1</v>
      </c>
      <c r="E38" s="10">
        <v>2</v>
      </c>
    </row>
    <row r="39" spans="1:5" x14ac:dyDescent="0.25">
      <c r="A39" s="10" t="s">
        <v>57</v>
      </c>
      <c r="B39" s="10">
        <v>30</v>
      </c>
      <c r="C39" s="10">
        <v>30</v>
      </c>
      <c r="D39" s="11" t="b">
        <v>0</v>
      </c>
      <c r="E39" s="10">
        <v>2</v>
      </c>
    </row>
    <row r="40" spans="1:5" x14ac:dyDescent="0.25">
      <c r="A40" s="10" t="s">
        <v>36</v>
      </c>
      <c r="B40" s="10">
        <v>31</v>
      </c>
      <c r="C40" s="10">
        <v>31</v>
      </c>
      <c r="D40" s="11" t="b">
        <v>1</v>
      </c>
      <c r="E40" s="10">
        <v>2</v>
      </c>
    </row>
    <row r="41" spans="1:5" x14ac:dyDescent="0.25">
      <c r="A41" s="10" t="s">
        <v>37</v>
      </c>
      <c r="B41" s="10">
        <v>32</v>
      </c>
      <c r="C41" s="10">
        <v>32</v>
      </c>
      <c r="D41" s="11" t="b">
        <v>0</v>
      </c>
      <c r="E41" s="10">
        <v>2</v>
      </c>
    </row>
    <row r="42" spans="1:5" x14ac:dyDescent="0.25">
      <c r="A42" s="12" t="s">
        <v>47</v>
      </c>
      <c r="B42" s="12">
        <v>1</v>
      </c>
      <c r="C42" s="12">
        <v>1</v>
      </c>
      <c r="D42" s="13" t="b">
        <v>0</v>
      </c>
      <c r="E42" s="10">
        <v>3</v>
      </c>
    </row>
    <row r="43" spans="1:5" x14ac:dyDescent="0.25">
      <c r="A43" s="12" t="s">
        <v>48</v>
      </c>
      <c r="B43" s="12">
        <v>2</v>
      </c>
      <c r="C43" s="12">
        <v>2</v>
      </c>
      <c r="D43" s="13" t="b">
        <v>1</v>
      </c>
      <c r="E43" s="10">
        <v>3</v>
      </c>
    </row>
    <row r="44" spans="1:5" x14ac:dyDescent="0.25">
      <c r="A44" s="12" t="s">
        <v>49</v>
      </c>
      <c r="B44" s="12">
        <v>3</v>
      </c>
      <c r="C44" s="12">
        <v>6</v>
      </c>
      <c r="D44" s="13" t="b">
        <v>1</v>
      </c>
      <c r="E44" s="10">
        <v>3</v>
      </c>
    </row>
    <row r="45" spans="1:5" x14ac:dyDescent="0.25">
      <c r="A45" s="12" t="s">
        <v>50</v>
      </c>
      <c r="B45" s="12">
        <v>7</v>
      </c>
      <c r="C45" s="12">
        <v>7</v>
      </c>
      <c r="D45" s="13" t="b">
        <v>0</v>
      </c>
      <c r="E45" s="10">
        <v>3</v>
      </c>
    </row>
    <row r="46" spans="1:5" x14ac:dyDescent="0.25">
      <c r="A46" s="12" t="s">
        <v>51</v>
      </c>
      <c r="B46" s="12">
        <v>8</v>
      </c>
      <c r="C46" s="12">
        <v>11</v>
      </c>
      <c r="D46" s="13" t="b">
        <v>1</v>
      </c>
      <c r="E46" s="10">
        <v>3</v>
      </c>
    </row>
    <row r="47" spans="1:5" x14ac:dyDescent="0.25">
      <c r="A47" s="12" t="s">
        <v>52</v>
      </c>
      <c r="B47" s="12">
        <v>12</v>
      </c>
      <c r="C47" s="12">
        <v>22</v>
      </c>
      <c r="D47" s="13" t="b">
        <v>1</v>
      </c>
      <c r="E47" s="10">
        <v>3</v>
      </c>
    </row>
    <row r="48" spans="1:5" x14ac:dyDescent="0.25">
      <c r="A48" s="12" t="s">
        <v>53</v>
      </c>
      <c r="B48" s="12">
        <v>23</v>
      </c>
      <c r="C48" s="12">
        <v>27</v>
      </c>
      <c r="D48" s="13" t="b">
        <v>1</v>
      </c>
      <c r="E48" s="10">
        <v>3</v>
      </c>
    </row>
    <row r="49" spans="1:5" x14ac:dyDescent="0.25">
      <c r="A49" s="12" t="s">
        <v>54</v>
      </c>
      <c r="B49" s="12">
        <v>28</v>
      </c>
      <c r="C49" s="12">
        <v>29</v>
      </c>
      <c r="D49" s="13" t="b">
        <v>1</v>
      </c>
      <c r="E49" s="10">
        <v>3</v>
      </c>
    </row>
    <row r="50" spans="1:5" x14ac:dyDescent="0.25">
      <c r="A50" s="12" t="s">
        <v>55</v>
      </c>
      <c r="B50" s="12">
        <v>30</v>
      </c>
      <c r="C50" s="12">
        <v>31</v>
      </c>
      <c r="D50" s="13" t="b">
        <v>1</v>
      </c>
      <c r="E50" s="10">
        <v>3</v>
      </c>
    </row>
    <row r="51" spans="1:5" x14ac:dyDescent="0.25">
      <c r="A51" s="12" t="s">
        <v>56</v>
      </c>
      <c r="B51" s="12">
        <v>32</v>
      </c>
      <c r="C51" s="12"/>
      <c r="D51" s="13" t="b">
        <v>0</v>
      </c>
      <c r="E51" s="10">
        <v>3</v>
      </c>
    </row>
    <row r="52" spans="1:5" x14ac:dyDescent="0.25">
      <c r="A52" s="12" t="s">
        <v>43</v>
      </c>
      <c r="B52" s="12">
        <v>1</v>
      </c>
      <c r="C52" s="12">
        <v>5</v>
      </c>
      <c r="D52" s="13" t="b">
        <v>1</v>
      </c>
      <c r="E52" s="10">
        <v>4</v>
      </c>
    </row>
    <row r="53" spans="1:5" x14ac:dyDescent="0.25">
      <c r="A53" s="12" t="s">
        <v>44</v>
      </c>
      <c r="B53" s="12">
        <v>6</v>
      </c>
      <c r="C53" s="12">
        <v>6</v>
      </c>
      <c r="D53" s="13" t="b">
        <v>1</v>
      </c>
      <c r="E53" s="10">
        <v>4</v>
      </c>
    </row>
    <row r="54" spans="1:5" x14ac:dyDescent="0.25">
      <c r="A54" s="12" t="s">
        <v>45</v>
      </c>
      <c r="B54" s="12">
        <v>7</v>
      </c>
      <c r="C54" s="12">
        <v>7</v>
      </c>
      <c r="D54" s="13" t="b">
        <v>0</v>
      </c>
      <c r="E54" s="10">
        <v>4</v>
      </c>
    </row>
    <row r="55" spans="1:5" x14ac:dyDescent="0.25">
      <c r="A55" s="12" t="s">
        <v>46</v>
      </c>
      <c r="B55" s="12">
        <v>8</v>
      </c>
      <c r="C55" s="12">
        <v>9</v>
      </c>
      <c r="D55" s="13" t="b">
        <v>1</v>
      </c>
      <c r="E55" s="10">
        <v>4</v>
      </c>
    </row>
    <row r="56" spans="1:5" x14ac:dyDescent="0.25">
      <c r="A56" s="12" t="s">
        <v>6</v>
      </c>
      <c r="B56" s="12">
        <v>10</v>
      </c>
      <c r="C56" s="12">
        <v>17</v>
      </c>
      <c r="D56" s="13" t="b">
        <v>1</v>
      </c>
      <c r="E56" s="10">
        <v>4</v>
      </c>
    </row>
    <row r="57" spans="1:5" x14ac:dyDescent="0.25">
      <c r="A57" s="12" t="s">
        <v>38</v>
      </c>
      <c r="B57" s="12">
        <v>18</v>
      </c>
      <c r="C57" s="12">
        <v>28</v>
      </c>
      <c r="D57" s="13" t="b">
        <v>1</v>
      </c>
      <c r="E57" s="10">
        <v>4</v>
      </c>
    </row>
    <row r="58" spans="1:5" x14ac:dyDescent="0.25">
      <c r="A58" s="12" t="s">
        <v>39</v>
      </c>
      <c r="B58" s="12">
        <v>29</v>
      </c>
      <c r="C58" s="12">
        <v>29</v>
      </c>
      <c r="D58" s="13" t="b">
        <v>0</v>
      </c>
      <c r="E58" s="10">
        <v>4</v>
      </c>
    </row>
    <row r="59" spans="1:5" x14ac:dyDescent="0.25">
      <c r="A59" s="12" t="s">
        <v>40</v>
      </c>
      <c r="B59" s="12">
        <v>30</v>
      </c>
      <c r="C59" s="12">
        <v>30</v>
      </c>
      <c r="D59" s="13" t="b">
        <v>0</v>
      </c>
      <c r="E59" s="10">
        <v>4</v>
      </c>
    </row>
    <row r="60" spans="1:5" x14ac:dyDescent="0.25">
      <c r="A60" s="12" t="s">
        <v>41</v>
      </c>
      <c r="B60" s="12">
        <v>31</v>
      </c>
      <c r="C60" s="12">
        <v>31</v>
      </c>
      <c r="D60" s="13" t="b">
        <v>0</v>
      </c>
      <c r="E60" s="10">
        <v>4</v>
      </c>
    </row>
    <row r="61" spans="1:5" x14ac:dyDescent="0.25">
      <c r="A61" s="12" t="s">
        <v>42</v>
      </c>
      <c r="B61" s="12">
        <v>32</v>
      </c>
      <c r="C61" s="12">
        <v>32</v>
      </c>
      <c r="D61" s="13" t="b">
        <v>1</v>
      </c>
      <c r="E61" s="10">
        <v>4</v>
      </c>
    </row>
    <row r="62" spans="1:5" x14ac:dyDescent="0.25">
      <c r="A62" s="12" t="s">
        <v>73</v>
      </c>
      <c r="B62" s="12">
        <v>1</v>
      </c>
      <c r="C62" s="12">
        <v>4</v>
      </c>
      <c r="D62" s="13" t="b">
        <v>1</v>
      </c>
      <c r="E62" s="10">
        <v>5</v>
      </c>
    </row>
    <row r="63" spans="1:5" x14ac:dyDescent="0.25">
      <c r="A63" s="12" t="s">
        <v>74</v>
      </c>
      <c r="B63" s="12">
        <v>5</v>
      </c>
      <c r="C63" s="12">
        <v>7</v>
      </c>
      <c r="D63" s="13" t="b">
        <v>1</v>
      </c>
      <c r="E63" s="10">
        <v>5</v>
      </c>
    </row>
    <row r="64" spans="1:5" x14ac:dyDescent="0.25">
      <c r="A64" s="12" t="s">
        <v>75</v>
      </c>
      <c r="B64" s="12">
        <v>8</v>
      </c>
      <c r="C64" s="12">
        <v>10</v>
      </c>
      <c r="D64" s="13" t="b">
        <v>1</v>
      </c>
      <c r="E64" s="10">
        <v>5</v>
      </c>
    </row>
    <row r="65" spans="1:5" x14ac:dyDescent="0.25">
      <c r="A65" s="12" t="s">
        <v>76</v>
      </c>
      <c r="B65" s="12">
        <v>11</v>
      </c>
      <c r="C65" s="12">
        <v>11</v>
      </c>
      <c r="D65" s="13" t="b">
        <v>0</v>
      </c>
      <c r="E65" s="10">
        <v>5</v>
      </c>
    </row>
    <row r="66" spans="1:5" x14ac:dyDescent="0.25">
      <c r="A66" s="12" t="s">
        <v>77</v>
      </c>
      <c r="B66" s="12">
        <v>12</v>
      </c>
      <c r="C66" s="12">
        <v>12</v>
      </c>
      <c r="D66" s="13" t="b">
        <v>0</v>
      </c>
      <c r="E66" s="10">
        <v>5</v>
      </c>
    </row>
    <row r="67" spans="1:5" x14ac:dyDescent="0.25">
      <c r="A67" s="12" t="s">
        <v>78</v>
      </c>
      <c r="B67" s="12">
        <v>13</v>
      </c>
      <c r="C67" s="12">
        <v>13</v>
      </c>
      <c r="D67" s="13" t="b">
        <v>0</v>
      </c>
      <c r="E67" s="10">
        <v>5</v>
      </c>
    </row>
    <row r="68" spans="1:5" x14ac:dyDescent="0.25">
      <c r="A68" s="12" t="s">
        <v>79</v>
      </c>
      <c r="B68" s="12">
        <v>14</v>
      </c>
      <c r="C68" s="12">
        <v>14</v>
      </c>
      <c r="D68" s="13" t="b">
        <v>0</v>
      </c>
      <c r="E68" s="10">
        <v>5</v>
      </c>
    </row>
    <row r="69" spans="1:5" x14ac:dyDescent="0.25">
      <c r="A69" s="12" t="s">
        <v>80</v>
      </c>
      <c r="B69" s="12">
        <v>15</v>
      </c>
      <c r="C69" s="12">
        <v>15</v>
      </c>
      <c r="D69" s="13" t="b">
        <v>0</v>
      </c>
      <c r="E69" s="10">
        <v>5</v>
      </c>
    </row>
    <row r="70" spans="1:5" x14ac:dyDescent="0.25">
      <c r="A70" s="12" t="s">
        <v>81</v>
      </c>
      <c r="B70" s="12">
        <v>16</v>
      </c>
      <c r="C70" s="12">
        <v>16</v>
      </c>
      <c r="D70" s="13" t="b">
        <v>0</v>
      </c>
      <c r="E70" s="10">
        <v>5</v>
      </c>
    </row>
    <row r="71" spans="1:5" x14ac:dyDescent="0.25">
      <c r="A71" s="12" t="s">
        <v>82</v>
      </c>
      <c r="B71" s="12">
        <v>17</v>
      </c>
      <c r="C71" s="12">
        <v>17</v>
      </c>
      <c r="D71" s="13" t="b">
        <v>1</v>
      </c>
      <c r="E71" s="10">
        <v>5</v>
      </c>
    </row>
    <row r="72" spans="1:5" x14ac:dyDescent="0.25">
      <c r="A72" s="12" t="s">
        <v>83</v>
      </c>
      <c r="B72" s="12">
        <v>18</v>
      </c>
      <c r="C72" s="12">
        <v>18</v>
      </c>
      <c r="D72" s="13" t="b">
        <v>0</v>
      </c>
      <c r="E72" s="10">
        <v>5</v>
      </c>
    </row>
    <row r="73" spans="1:5" ht="30" x14ac:dyDescent="0.25">
      <c r="A73" s="14" t="s">
        <v>84</v>
      </c>
      <c r="B73" s="12">
        <v>19</v>
      </c>
      <c r="C73" s="12">
        <v>19</v>
      </c>
      <c r="D73" s="13" t="b">
        <v>0</v>
      </c>
      <c r="E73" s="10">
        <v>5</v>
      </c>
    </row>
    <row r="74" spans="1:5" x14ac:dyDescent="0.25">
      <c r="A74" s="12" t="s">
        <v>85</v>
      </c>
      <c r="B74" s="12">
        <v>20</v>
      </c>
      <c r="C74" s="12">
        <v>20</v>
      </c>
      <c r="D74" s="13" t="b">
        <v>1</v>
      </c>
      <c r="E74" s="10">
        <v>5</v>
      </c>
    </row>
    <row r="75" spans="1:5" x14ac:dyDescent="0.25">
      <c r="A75" s="12" t="s">
        <v>66</v>
      </c>
      <c r="B75" s="12">
        <v>21</v>
      </c>
      <c r="C75" s="12">
        <v>21</v>
      </c>
      <c r="D75" s="13" t="b">
        <v>0</v>
      </c>
      <c r="E75" s="10">
        <v>5</v>
      </c>
    </row>
    <row r="76" spans="1:5" x14ac:dyDescent="0.25">
      <c r="A76" s="12" t="s">
        <v>67</v>
      </c>
      <c r="B76" s="12">
        <v>22</v>
      </c>
      <c r="C76" s="12">
        <v>22</v>
      </c>
      <c r="D76" s="13" t="b">
        <v>0</v>
      </c>
      <c r="E76" s="10">
        <v>5</v>
      </c>
    </row>
    <row r="77" spans="1:5" x14ac:dyDescent="0.25">
      <c r="A77" s="12" t="s">
        <v>68</v>
      </c>
      <c r="B77" s="12">
        <v>23</v>
      </c>
      <c r="C77" s="12">
        <v>23</v>
      </c>
      <c r="D77" s="13" t="b">
        <v>0</v>
      </c>
      <c r="E77" s="10">
        <v>5</v>
      </c>
    </row>
    <row r="78" spans="1:5" x14ac:dyDescent="0.25">
      <c r="A78" s="12" t="s">
        <v>69</v>
      </c>
      <c r="B78" s="12">
        <v>24</v>
      </c>
      <c r="C78" s="12">
        <v>24</v>
      </c>
      <c r="D78" s="13" t="b">
        <v>0</v>
      </c>
      <c r="E78" s="10">
        <v>5</v>
      </c>
    </row>
    <row r="79" spans="1:5" ht="30" x14ac:dyDescent="0.25">
      <c r="A79" s="14" t="s">
        <v>70</v>
      </c>
      <c r="B79" s="12">
        <v>25</v>
      </c>
      <c r="C79" s="12">
        <v>25</v>
      </c>
      <c r="D79" s="13" t="b">
        <v>0</v>
      </c>
      <c r="E79" s="10">
        <v>5</v>
      </c>
    </row>
    <row r="80" spans="1:5" x14ac:dyDescent="0.25">
      <c r="A80" s="12" t="s">
        <v>71</v>
      </c>
      <c r="B80" s="12">
        <v>26</v>
      </c>
      <c r="C80" s="12">
        <v>26</v>
      </c>
      <c r="D80" s="13" t="b">
        <v>0</v>
      </c>
      <c r="E80" s="10">
        <v>5</v>
      </c>
    </row>
    <row r="81" spans="1:5" x14ac:dyDescent="0.25">
      <c r="A81" s="12" t="s">
        <v>44</v>
      </c>
      <c r="B81" s="12">
        <v>27</v>
      </c>
      <c r="C81" s="12">
        <v>27</v>
      </c>
      <c r="D81" s="13" t="b">
        <v>0</v>
      </c>
      <c r="E81" s="10">
        <v>5</v>
      </c>
    </row>
    <row r="82" spans="1:5" x14ac:dyDescent="0.25">
      <c r="A82" s="12" t="s">
        <v>72</v>
      </c>
      <c r="B82" s="12">
        <v>28</v>
      </c>
      <c r="C82" s="12">
        <v>28</v>
      </c>
      <c r="D82" s="13" t="b">
        <v>0</v>
      </c>
      <c r="E82" s="10">
        <v>5</v>
      </c>
    </row>
    <row r="83" spans="1:5" x14ac:dyDescent="0.25">
      <c r="A83" s="12" t="s">
        <v>64</v>
      </c>
      <c r="B83" s="12">
        <v>29</v>
      </c>
      <c r="C83" s="12">
        <v>30</v>
      </c>
      <c r="D83" s="13" t="b">
        <v>0</v>
      </c>
      <c r="E83" s="10">
        <v>5</v>
      </c>
    </row>
    <row r="84" spans="1:5" x14ac:dyDescent="0.25">
      <c r="A84" s="12" t="s">
        <v>55</v>
      </c>
      <c r="B84" s="12">
        <v>31</v>
      </c>
      <c r="C84" s="12">
        <v>31</v>
      </c>
      <c r="D84" s="13" t="b">
        <v>0</v>
      </c>
      <c r="E84" s="10">
        <v>5</v>
      </c>
    </row>
    <row r="85" spans="1:5" x14ac:dyDescent="0.25">
      <c r="A85" s="12" t="s">
        <v>65</v>
      </c>
      <c r="B85" s="12">
        <v>32</v>
      </c>
      <c r="C85" s="12">
        <v>32</v>
      </c>
      <c r="D85" s="13" t="b">
        <v>0</v>
      </c>
      <c r="E85" s="10">
        <v>5</v>
      </c>
    </row>
    <row r="86" spans="1:5" x14ac:dyDescent="0.25">
      <c r="A86" s="12" t="s">
        <v>38</v>
      </c>
      <c r="B86" s="12">
        <v>1</v>
      </c>
      <c r="C86" s="12">
        <v>2</v>
      </c>
      <c r="D86" s="13" t="b">
        <v>1</v>
      </c>
      <c r="E86" s="10">
        <v>6</v>
      </c>
    </row>
    <row r="87" spans="1:5" x14ac:dyDescent="0.25">
      <c r="A87" s="12" t="s">
        <v>43</v>
      </c>
      <c r="B87" s="12">
        <v>3</v>
      </c>
      <c r="C87" s="12">
        <v>5</v>
      </c>
      <c r="D87" s="13" t="b">
        <v>0</v>
      </c>
      <c r="E87" s="10">
        <v>6</v>
      </c>
    </row>
    <row r="88" spans="1:5" x14ac:dyDescent="0.25">
      <c r="A88" s="12" t="s">
        <v>23</v>
      </c>
      <c r="B88" s="12">
        <v>6</v>
      </c>
      <c r="C88" s="12">
        <v>7</v>
      </c>
      <c r="D88" s="13" t="b">
        <v>0</v>
      </c>
      <c r="E88" s="10">
        <v>6</v>
      </c>
    </row>
    <row r="89" spans="1:5" x14ac:dyDescent="0.25">
      <c r="A89" s="12" t="s">
        <v>46</v>
      </c>
      <c r="B89" s="12">
        <v>8</v>
      </c>
      <c r="C89" s="12">
        <v>8</v>
      </c>
      <c r="D89" s="13" t="b">
        <v>0</v>
      </c>
      <c r="E89" s="10">
        <v>6</v>
      </c>
    </row>
    <row r="90" spans="1:5" x14ac:dyDescent="0.25">
      <c r="A90" s="12" t="s">
        <v>21</v>
      </c>
      <c r="B90" s="12">
        <v>9</v>
      </c>
      <c r="C90" s="12">
        <v>9</v>
      </c>
      <c r="D90" s="13" t="b">
        <v>0</v>
      </c>
      <c r="E90" s="10">
        <v>6</v>
      </c>
    </row>
    <row r="91" spans="1:5" x14ac:dyDescent="0.25">
      <c r="A91" s="12" t="s">
        <v>38</v>
      </c>
      <c r="B91" s="12">
        <v>10</v>
      </c>
      <c r="C91" s="12">
        <v>10</v>
      </c>
      <c r="D91" s="13" t="b">
        <v>0</v>
      </c>
      <c r="E91" s="10">
        <v>6</v>
      </c>
    </row>
    <row r="92" spans="1:5" x14ac:dyDescent="0.25">
      <c r="A92" s="12" t="s">
        <v>86</v>
      </c>
      <c r="B92" s="12">
        <v>11</v>
      </c>
      <c r="C92" s="12">
        <v>11</v>
      </c>
      <c r="D92" s="13" t="b">
        <v>0</v>
      </c>
      <c r="E92" s="10">
        <v>6</v>
      </c>
    </row>
    <row r="93" spans="1:5" x14ac:dyDescent="0.25">
      <c r="A93" s="12" t="s">
        <v>36</v>
      </c>
      <c r="B93" s="12">
        <v>12</v>
      </c>
      <c r="C93" s="12">
        <v>12</v>
      </c>
      <c r="D93" s="13" t="b">
        <v>1</v>
      </c>
      <c r="E93" s="10">
        <v>6</v>
      </c>
    </row>
    <row r="94" spans="1:5" x14ac:dyDescent="0.25">
      <c r="A94" s="12" t="s">
        <v>3</v>
      </c>
      <c r="B94" s="12">
        <v>13</v>
      </c>
      <c r="C94" s="12">
        <v>13</v>
      </c>
      <c r="D94" s="13" t="b">
        <v>1</v>
      </c>
      <c r="E94" s="10">
        <v>6</v>
      </c>
    </row>
    <row r="95" spans="1:5" x14ac:dyDescent="0.25">
      <c r="A95" s="12"/>
      <c r="B95" s="12">
        <v>14</v>
      </c>
      <c r="C95" s="12">
        <v>14</v>
      </c>
      <c r="D95" s="13" t="b">
        <v>0</v>
      </c>
      <c r="E95" s="10">
        <v>6</v>
      </c>
    </row>
    <row r="96" spans="1:5" x14ac:dyDescent="0.25">
      <c r="A96" s="12" t="s">
        <v>87</v>
      </c>
      <c r="B96" s="12">
        <v>15</v>
      </c>
      <c r="C96" s="12">
        <v>15</v>
      </c>
      <c r="D96" s="13" t="b">
        <v>1</v>
      </c>
      <c r="E96" s="10">
        <v>6</v>
      </c>
    </row>
    <row r="97" spans="1:5" x14ac:dyDescent="0.25">
      <c r="A97" s="14" t="s">
        <v>49</v>
      </c>
      <c r="B97" s="12">
        <v>16</v>
      </c>
      <c r="C97" s="12">
        <v>16</v>
      </c>
      <c r="D97" s="13" t="b">
        <v>1</v>
      </c>
      <c r="E97" s="10">
        <v>6</v>
      </c>
    </row>
    <row r="98" spans="1:5" x14ac:dyDescent="0.25">
      <c r="A98" s="12" t="s">
        <v>48</v>
      </c>
      <c r="B98" s="12">
        <v>17</v>
      </c>
      <c r="C98" s="12">
        <v>17</v>
      </c>
      <c r="D98" s="13" t="b">
        <v>1</v>
      </c>
      <c r="E98" s="10">
        <v>6</v>
      </c>
    </row>
    <row r="99" spans="1:5" x14ac:dyDescent="0.25">
      <c r="A99" s="12" t="s">
        <v>63</v>
      </c>
      <c r="B99" s="12">
        <v>18</v>
      </c>
      <c r="C99" s="12">
        <v>18</v>
      </c>
      <c r="D99" s="13" t="b">
        <v>0</v>
      </c>
      <c r="E99" s="10">
        <v>6</v>
      </c>
    </row>
    <row r="100" spans="1:5" x14ac:dyDescent="0.25">
      <c r="A100" s="12" t="s">
        <v>88</v>
      </c>
      <c r="B100" s="12">
        <v>19</v>
      </c>
      <c r="C100" s="12">
        <v>19</v>
      </c>
      <c r="D100" s="13" t="b">
        <v>0</v>
      </c>
      <c r="E100" s="10">
        <v>6</v>
      </c>
    </row>
    <row r="101" spans="1:5" x14ac:dyDescent="0.25">
      <c r="A101" s="12" t="s">
        <v>82</v>
      </c>
      <c r="B101" s="12">
        <v>20</v>
      </c>
      <c r="C101" s="12">
        <v>20</v>
      </c>
      <c r="D101" s="13" t="b">
        <v>0</v>
      </c>
      <c r="E101" s="10">
        <v>6</v>
      </c>
    </row>
    <row r="102" spans="1:5" x14ac:dyDescent="0.25">
      <c r="A102" s="12" t="s">
        <v>36</v>
      </c>
      <c r="B102" s="12">
        <v>21</v>
      </c>
      <c r="C102" s="12">
        <v>21</v>
      </c>
      <c r="D102" s="13" t="b">
        <v>0</v>
      </c>
      <c r="E102" s="10">
        <v>6</v>
      </c>
    </row>
    <row r="103" spans="1:5" x14ac:dyDescent="0.25">
      <c r="A103" s="14" t="s">
        <v>75</v>
      </c>
      <c r="B103" s="12">
        <v>22</v>
      </c>
      <c r="C103" s="12">
        <v>22</v>
      </c>
      <c r="D103" s="13" t="b">
        <v>0</v>
      </c>
      <c r="E103" s="10">
        <v>6</v>
      </c>
    </row>
    <row r="104" spans="1:5" x14ac:dyDescent="0.25">
      <c r="A104" s="12"/>
      <c r="B104" s="12">
        <v>23</v>
      </c>
      <c r="C104" s="12">
        <v>23</v>
      </c>
      <c r="D104" s="13" t="b">
        <v>0</v>
      </c>
      <c r="E104" s="10">
        <v>6</v>
      </c>
    </row>
    <row r="105" spans="1:5" x14ac:dyDescent="0.25">
      <c r="A105" s="12" t="s">
        <v>74</v>
      </c>
      <c r="B105" s="12">
        <v>24</v>
      </c>
      <c r="C105" s="12">
        <v>24</v>
      </c>
      <c r="D105" s="13" t="b">
        <v>0</v>
      </c>
      <c r="E105" s="10">
        <v>6</v>
      </c>
    </row>
    <row r="106" spans="1:5" x14ac:dyDescent="0.25">
      <c r="A106" s="12" t="s">
        <v>48</v>
      </c>
      <c r="B106" s="12">
        <v>25</v>
      </c>
      <c r="C106" s="12">
        <v>25</v>
      </c>
      <c r="D106" s="13" t="b">
        <v>0</v>
      </c>
      <c r="E106" s="10">
        <v>6</v>
      </c>
    </row>
    <row r="107" spans="1:5" x14ac:dyDescent="0.25">
      <c r="A107" s="12"/>
      <c r="B107" s="12">
        <v>26</v>
      </c>
      <c r="C107" s="12">
        <v>26</v>
      </c>
      <c r="D107" s="13" t="b">
        <v>0</v>
      </c>
      <c r="E107" s="10">
        <v>6</v>
      </c>
    </row>
    <row r="108" spans="1:5" x14ac:dyDescent="0.25">
      <c r="A108" s="12" t="s">
        <v>3</v>
      </c>
      <c r="B108" s="12">
        <v>27</v>
      </c>
      <c r="C108" s="12">
        <v>28</v>
      </c>
      <c r="D108" s="13" t="b">
        <v>0</v>
      </c>
      <c r="E108" s="10">
        <v>6</v>
      </c>
    </row>
    <row r="109" spans="1:5" x14ac:dyDescent="0.25">
      <c r="A109" s="12" t="s">
        <v>42</v>
      </c>
      <c r="B109" s="12">
        <v>29</v>
      </c>
      <c r="C109" s="12">
        <v>30</v>
      </c>
      <c r="D109" s="13" t="b">
        <v>1</v>
      </c>
      <c r="E109" s="10">
        <v>6</v>
      </c>
    </row>
    <row r="110" spans="1:5" x14ac:dyDescent="0.25">
      <c r="A110" s="12" t="s">
        <v>26</v>
      </c>
      <c r="B110" s="12">
        <v>31</v>
      </c>
      <c r="C110" s="12">
        <v>31</v>
      </c>
      <c r="D110" s="13" t="b">
        <v>1</v>
      </c>
      <c r="E110" s="10">
        <v>6</v>
      </c>
    </row>
    <row r="111" spans="1:5" x14ac:dyDescent="0.25">
      <c r="A111" s="12" t="s">
        <v>42</v>
      </c>
      <c r="B111" s="12">
        <v>32</v>
      </c>
      <c r="C111" s="12">
        <v>32</v>
      </c>
      <c r="D111" s="13" t="b">
        <v>0</v>
      </c>
      <c r="E111" s="10">
        <v>6</v>
      </c>
    </row>
    <row r="112" spans="1:5" x14ac:dyDescent="0.25">
      <c r="A112" s="12" t="s">
        <v>19</v>
      </c>
      <c r="B112" s="12">
        <v>1</v>
      </c>
      <c r="C112" s="12">
        <v>2</v>
      </c>
      <c r="D112" s="13" t="b">
        <v>0</v>
      </c>
      <c r="E112" s="10">
        <v>7</v>
      </c>
    </row>
    <row r="113" spans="1:5" x14ac:dyDescent="0.25">
      <c r="A113" s="12" t="s">
        <v>53</v>
      </c>
      <c r="B113" s="12">
        <v>3</v>
      </c>
      <c r="C113" s="12">
        <v>6</v>
      </c>
      <c r="D113" s="13" t="b">
        <v>0</v>
      </c>
      <c r="E113" s="10">
        <v>7</v>
      </c>
    </row>
    <row r="114" spans="1:5" x14ac:dyDescent="0.25">
      <c r="A114" s="12" t="s">
        <v>49</v>
      </c>
      <c r="B114" s="12">
        <v>7</v>
      </c>
      <c r="C114" s="12">
        <v>8</v>
      </c>
      <c r="D114" s="13" t="b">
        <v>0</v>
      </c>
      <c r="E114" s="10">
        <v>7</v>
      </c>
    </row>
    <row r="115" spans="1:5" x14ac:dyDescent="0.25">
      <c r="A115" s="12" t="s">
        <v>54</v>
      </c>
      <c r="B115" s="12">
        <v>9</v>
      </c>
      <c r="C115" s="12">
        <v>9</v>
      </c>
      <c r="D115" s="13" t="b">
        <v>0</v>
      </c>
      <c r="E115" s="10">
        <v>7</v>
      </c>
    </row>
    <row r="116" spans="1:5" x14ac:dyDescent="0.25">
      <c r="A116" s="12" t="s">
        <v>85</v>
      </c>
      <c r="B116" s="12">
        <v>10</v>
      </c>
      <c r="C116" s="12">
        <v>10</v>
      </c>
      <c r="D116" s="13" t="b">
        <v>0</v>
      </c>
      <c r="E116" s="10">
        <v>7</v>
      </c>
    </row>
    <row r="117" spans="1:5" x14ac:dyDescent="0.25">
      <c r="A117" s="12" t="s">
        <v>92</v>
      </c>
      <c r="B117" s="12">
        <v>11</v>
      </c>
      <c r="C117" s="12">
        <v>12</v>
      </c>
      <c r="D117" s="13" t="b">
        <v>1</v>
      </c>
      <c r="E117" s="10">
        <v>7</v>
      </c>
    </row>
    <row r="118" spans="1:5" x14ac:dyDescent="0.25">
      <c r="A118" s="12" t="s">
        <v>93</v>
      </c>
      <c r="B118" s="12">
        <v>13</v>
      </c>
      <c r="C118" s="12">
        <v>14</v>
      </c>
      <c r="D118" s="13" t="b">
        <v>0</v>
      </c>
      <c r="E118" s="10">
        <v>7</v>
      </c>
    </row>
    <row r="119" spans="1:5" x14ac:dyDescent="0.25">
      <c r="A119" s="12" t="s">
        <v>6</v>
      </c>
      <c r="B119" s="12">
        <v>15</v>
      </c>
      <c r="C119" s="12">
        <v>15</v>
      </c>
      <c r="D119" s="13" t="b">
        <v>1</v>
      </c>
      <c r="E119" s="10">
        <v>7</v>
      </c>
    </row>
    <row r="120" spans="1:5" x14ac:dyDescent="0.25">
      <c r="A120" s="12"/>
      <c r="B120" s="12">
        <v>16</v>
      </c>
      <c r="C120" s="12">
        <v>16</v>
      </c>
      <c r="D120" s="13" t="b">
        <v>0</v>
      </c>
      <c r="E120" s="10">
        <v>7</v>
      </c>
    </row>
    <row r="121" spans="1:5" x14ac:dyDescent="0.25">
      <c r="A121" s="12" t="s">
        <v>94</v>
      </c>
      <c r="B121" s="12">
        <v>17</v>
      </c>
      <c r="C121" s="12">
        <v>17</v>
      </c>
      <c r="D121" s="13" t="b">
        <v>0</v>
      </c>
      <c r="E121" s="10">
        <v>7</v>
      </c>
    </row>
    <row r="122" spans="1:5" x14ac:dyDescent="0.25">
      <c r="A122" s="12" t="s">
        <v>87</v>
      </c>
      <c r="B122" s="12">
        <v>18</v>
      </c>
      <c r="C122" s="12">
        <v>18</v>
      </c>
      <c r="D122" s="13" t="b">
        <v>0</v>
      </c>
      <c r="E122" s="10">
        <v>7</v>
      </c>
    </row>
    <row r="123" spans="1:5" x14ac:dyDescent="0.25">
      <c r="A123" s="12" t="s">
        <v>95</v>
      </c>
      <c r="B123" s="12">
        <v>19</v>
      </c>
      <c r="C123" s="12">
        <v>19</v>
      </c>
      <c r="D123" s="13" t="b">
        <v>0</v>
      </c>
      <c r="E123" s="10">
        <v>7</v>
      </c>
    </row>
    <row r="124" spans="1:5" x14ac:dyDescent="0.25">
      <c r="A124" s="12" t="s">
        <v>34</v>
      </c>
      <c r="B124" s="12">
        <v>20</v>
      </c>
      <c r="C124" s="12">
        <v>20</v>
      </c>
      <c r="D124" s="13" t="b">
        <v>0</v>
      </c>
      <c r="E124" s="10">
        <v>7</v>
      </c>
    </row>
    <row r="125" spans="1:5" x14ac:dyDescent="0.25">
      <c r="A125" s="12" t="s">
        <v>92</v>
      </c>
      <c r="B125" s="12">
        <v>21</v>
      </c>
      <c r="C125" s="12">
        <v>21</v>
      </c>
      <c r="D125" s="13" t="b">
        <v>0</v>
      </c>
      <c r="E125" s="10">
        <v>7</v>
      </c>
    </row>
    <row r="126" spans="1:5" x14ac:dyDescent="0.25">
      <c r="A126" s="12" t="s">
        <v>38</v>
      </c>
      <c r="B126" s="12">
        <v>22</v>
      </c>
      <c r="C126" s="12">
        <v>22</v>
      </c>
      <c r="D126" s="13" t="b">
        <v>1</v>
      </c>
      <c r="E126" s="10">
        <v>7</v>
      </c>
    </row>
    <row r="127" spans="1:5" x14ac:dyDescent="0.25">
      <c r="A127" s="12" t="s">
        <v>89</v>
      </c>
      <c r="B127" s="12">
        <v>23</v>
      </c>
      <c r="C127" s="12">
        <v>23</v>
      </c>
      <c r="D127" s="13" t="b">
        <v>0</v>
      </c>
      <c r="E127" s="10">
        <v>7</v>
      </c>
    </row>
    <row r="128" spans="1:5" x14ac:dyDescent="0.25">
      <c r="A128" s="12" t="s">
        <v>90</v>
      </c>
      <c r="B128" s="12">
        <v>24</v>
      </c>
      <c r="C128" s="12">
        <v>24</v>
      </c>
      <c r="D128" s="13" t="b">
        <v>0</v>
      </c>
      <c r="E128" s="10">
        <v>7</v>
      </c>
    </row>
    <row r="129" spans="1:5" x14ac:dyDescent="0.25">
      <c r="A129" s="12" t="s">
        <v>91</v>
      </c>
      <c r="B129" s="12">
        <v>25</v>
      </c>
      <c r="C129" s="12">
        <v>25</v>
      </c>
      <c r="D129" s="13" t="b">
        <v>0</v>
      </c>
      <c r="E129" s="10">
        <v>7</v>
      </c>
    </row>
    <row r="130" spans="1:5" x14ac:dyDescent="0.25">
      <c r="A130" s="12" t="s">
        <v>96</v>
      </c>
      <c r="B130" s="12">
        <v>26</v>
      </c>
      <c r="C130" s="12">
        <v>26</v>
      </c>
      <c r="D130" s="13" t="b">
        <v>0</v>
      </c>
      <c r="E130" s="10">
        <v>7</v>
      </c>
    </row>
    <row r="131" spans="1:5" x14ac:dyDescent="0.25">
      <c r="A131" s="12"/>
      <c r="B131" s="12">
        <v>27</v>
      </c>
      <c r="C131" s="12">
        <v>27</v>
      </c>
      <c r="D131" s="13" t="b">
        <v>0</v>
      </c>
      <c r="E131" s="10">
        <v>7</v>
      </c>
    </row>
    <row r="132" spans="1:5" x14ac:dyDescent="0.25">
      <c r="A132" s="12" t="s">
        <v>73</v>
      </c>
      <c r="B132" s="12">
        <v>29</v>
      </c>
      <c r="C132" s="12">
        <v>31</v>
      </c>
      <c r="D132" s="13" t="b">
        <v>0</v>
      </c>
      <c r="E132" s="10">
        <v>7</v>
      </c>
    </row>
    <row r="133" spans="1:5" x14ac:dyDescent="0.25">
      <c r="A133" s="12" t="s">
        <v>6</v>
      </c>
      <c r="B133" s="12">
        <v>32</v>
      </c>
      <c r="C133" s="12">
        <v>32</v>
      </c>
      <c r="D133" s="13" t="b">
        <v>0</v>
      </c>
      <c r="E133" s="10">
        <v>7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D6A5E-066B-436D-BF39-D6CED7D1FB97}">
  <sheetPr codeName="Sheet9"/>
  <dimension ref="A1:J133"/>
  <sheetViews>
    <sheetView zoomScaleNormal="100" workbookViewId="0">
      <selection activeCell="D3" sqref="D3"/>
    </sheetView>
  </sheetViews>
  <sheetFormatPr defaultColWidth="9.140625" defaultRowHeight="15" x14ac:dyDescent="0.25"/>
  <cols>
    <col min="1" max="1" width="19.140625" style="33" customWidth="1"/>
    <col min="2" max="5" width="9.140625" style="33"/>
    <col min="6" max="6" width="11.85546875" style="33" customWidth="1"/>
    <col min="7" max="16384" width="9.140625" style="33"/>
  </cols>
  <sheetData>
    <row r="1" spans="1:10" x14ac:dyDescent="0.25">
      <c r="A1" s="36" t="s">
        <v>0</v>
      </c>
      <c r="B1" s="36" t="s">
        <v>1</v>
      </c>
      <c r="C1" s="36" t="s">
        <v>2</v>
      </c>
      <c r="D1" s="36" t="s">
        <v>4</v>
      </c>
      <c r="E1" s="36" t="s">
        <v>98</v>
      </c>
      <c r="F1" s="36" t="s">
        <v>106</v>
      </c>
      <c r="G1" s="36" t="s">
        <v>103</v>
      </c>
      <c r="H1" s="36" t="s">
        <v>107</v>
      </c>
      <c r="I1" s="36" t="s">
        <v>108</v>
      </c>
      <c r="J1" s="36" t="s">
        <v>104</v>
      </c>
    </row>
    <row r="2" spans="1:10" ht="15.75" x14ac:dyDescent="0.25">
      <c r="A2" s="35" t="s">
        <v>55</v>
      </c>
      <c r="B2" s="35">
        <v>30</v>
      </c>
      <c r="C2" s="35">
        <v>31</v>
      </c>
      <c r="D2" s="37" t="b">
        <v>1</v>
      </c>
      <c r="E2" s="38">
        <v>3</v>
      </c>
      <c r="F2" s="38" t="s">
        <v>25</v>
      </c>
      <c r="G2" s="38">
        <v>8</v>
      </c>
      <c r="H2" s="38">
        <v>8</v>
      </c>
      <c r="I2" s="39" t="b">
        <v>1</v>
      </c>
      <c r="J2" s="38">
        <v>2</v>
      </c>
    </row>
    <row r="3" spans="1:10" ht="15.75" x14ac:dyDescent="0.25">
      <c r="A3" s="35" t="s">
        <v>55</v>
      </c>
      <c r="B3" s="35">
        <v>31</v>
      </c>
      <c r="C3" s="35">
        <v>31</v>
      </c>
      <c r="D3" s="37" t="b">
        <v>0</v>
      </c>
      <c r="E3" s="38">
        <v>5</v>
      </c>
      <c r="F3" s="38" t="s">
        <v>96</v>
      </c>
      <c r="G3" s="38">
        <v>26</v>
      </c>
      <c r="H3" s="38">
        <v>26</v>
      </c>
      <c r="I3" s="39" t="b">
        <v>0</v>
      </c>
      <c r="J3" s="38">
        <v>7</v>
      </c>
    </row>
    <row r="4" spans="1:10" ht="15.75" x14ac:dyDescent="0.25">
      <c r="A4" s="35" t="s">
        <v>42</v>
      </c>
      <c r="B4" s="35">
        <v>32</v>
      </c>
      <c r="C4" s="35">
        <v>32</v>
      </c>
      <c r="D4" s="37" t="b">
        <v>1</v>
      </c>
      <c r="E4" s="38">
        <v>4</v>
      </c>
      <c r="F4" s="38" t="s">
        <v>72</v>
      </c>
      <c r="G4" s="38">
        <v>28</v>
      </c>
      <c r="H4" s="38">
        <v>28</v>
      </c>
      <c r="I4" s="39" t="b">
        <v>0</v>
      </c>
      <c r="J4" s="38">
        <v>5</v>
      </c>
    </row>
    <row r="5" spans="1:10" ht="15.75" x14ac:dyDescent="0.25">
      <c r="A5" s="35" t="s">
        <v>42</v>
      </c>
      <c r="B5" s="35">
        <v>29</v>
      </c>
      <c r="C5" s="35">
        <v>30</v>
      </c>
      <c r="D5" s="37" t="b">
        <v>1</v>
      </c>
      <c r="E5" s="38">
        <v>6</v>
      </c>
      <c r="F5" s="38" t="s">
        <v>89</v>
      </c>
      <c r="G5" s="38">
        <v>23</v>
      </c>
      <c r="H5" s="38">
        <v>23</v>
      </c>
      <c r="I5" s="39" t="b">
        <v>0</v>
      </c>
      <c r="J5" s="38">
        <v>7</v>
      </c>
    </row>
    <row r="6" spans="1:10" ht="15.75" x14ac:dyDescent="0.25">
      <c r="A6" s="35" t="s">
        <v>42</v>
      </c>
      <c r="B6" s="35">
        <v>32</v>
      </c>
      <c r="C6" s="35">
        <v>32</v>
      </c>
      <c r="D6" s="37" t="b">
        <v>0</v>
      </c>
      <c r="E6" s="38">
        <v>6</v>
      </c>
      <c r="F6" s="38" t="s">
        <v>83</v>
      </c>
      <c r="G6" s="38">
        <v>18</v>
      </c>
      <c r="H6" s="38">
        <v>18</v>
      </c>
      <c r="I6" s="39" t="b">
        <v>0</v>
      </c>
      <c r="J6" s="38">
        <v>5</v>
      </c>
    </row>
    <row r="7" spans="1:10" ht="15.75" x14ac:dyDescent="0.25">
      <c r="A7" s="38" t="s">
        <v>35</v>
      </c>
      <c r="B7" s="38">
        <v>29</v>
      </c>
      <c r="C7" s="38">
        <v>29</v>
      </c>
      <c r="D7" s="39" t="b">
        <v>1</v>
      </c>
      <c r="E7" s="38">
        <v>2</v>
      </c>
      <c r="F7" s="38" t="s">
        <v>60</v>
      </c>
      <c r="G7" s="38">
        <v>10</v>
      </c>
      <c r="H7" s="38">
        <v>10</v>
      </c>
      <c r="I7" s="39" t="b">
        <v>0</v>
      </c>
      <c r="J7" s="38">
        <v>2</v>
      </c>
    </row>
    <row r="8" spans="1:10" ht="15.75" x14ac:dyDescent="0.25">
      <c r="A8" s="35" t="s">
        <v>74</v>
      </c>
      <c r="B8" s="35">
        <v>5</v>
      </c>
      <c r="C8" s="35">
        <v>7</v>
      </c>
      <c r="D8" s="37" t="b">
        <v>1</v>
      </c>
      <c r="E8" s="38">
        <v>5</v>
      </c>
      <c r="F8" s="38" t="s">
        <v>9</v>
      </c>
      <c r="G8" s="38">
        <v>8</v>
      </c>
      <c r="H8" s="38">
        <v>9</v>
      </c>
      <c r="I8" s="39" t="b">
        <v>0</v>
      </c>
      <c r="J8" s="38">
        <v>1</v>
      </c>
    </row>
    <row r="9" spans="1:10" ht="15.75" x14ac:dyDescent="0.25">
      <c r="A9" s="35" t="s">
        <v>74</v>
      </c>
      <c r="B9" s="35">
        <v>24</v>
      </c>
      <c r="C9" s="35">
        <v>24</v>
      </c>
      <c r="D9" s="37" t="b">
        <v>0</v>
      </c>
      <c r="E9" s="38">
        <v>6</v>
      </c>
      <c r="F9" s="38" t="s">
        <v>54</v>
      </c>
      <c r="G9" s="38">
        <v>28</v>
      </c>
      <c r="H9" s="38">
        <v>29</v>
      </c>
      <c r="I9" s="39" t="b">
        <v>1</v>
      </c>
      <c r="J9" s="38">
        <v>3</v>
      </c>
    </row>
    <row r="10" spans="1:10" ht="15.75" x14ac:dyDescent="0.25">
      <c r="A10" s="35" t="s">
        <v>69</v>
      </c>
      <c r="B10" s="35">
        <v>24</v>
      </c>
      <c r="C10" s="35">
        <v>24</v>
      </c>
      <c r="D10" s="37" t="b">
        <v>0</v>
      </c>
      <c r="E10" s="38">
        <v>5</v>
      </c>
      <c r="F10" s="38" t="s">
        <v>54</v>
      </c>
      <c r="G10" s="38">
        <v>9</v>
      </c>
      <c r="H10" s="38">
        <v>9</v>
      </c>
      <c r="I10" s="39" t="b">
        <v>0</v>
      </c>
      <c r="J10" s="38">
        <v>7</v>
      </c>
    </row>
    <row r="11" spans="1:10" ht="15.75" x14ac:dyDescent="0.25">
      <c r="A11" s="35" t="s">
        <v>40</v>
      </c>
      <c r="B11" s="35">
        <v>30</v>
      </c>
      <c r="C11" s="35">
        <v>30</v>
      </c>
      <c r="D11" s="37" t="b">
        <v>0</v>
      </c>
      <c r="E11" s="38">
        <v>4</v>
      </c>
      <c r="F11" s="38" t="s">
        <v>66</v>
      </c>
      <c r="G11" s="38">
        <v>21</v>
      </c>
      <c r="H11" s="38">
        <v>21</v>
      </c>
      <c r="I11" s="39" t="b">
        <v>0</v>
      </c>
      <c r="J11" s="38">
        <v>5</v>
      </c>
    </row>
    <row r="12" spans="1:10" ht="15.75" x14ac:dyDescent="0.25">
      <c r="A12" s="38" t="s">
        <v>33</v>
      </c>
      <c r="B12" s="38">
        <v>25</v>
      </c>
      <c r="C12" s="38">
        <v>25</v>
      </c>
      <c r="D12" s="39" t="b">
        <v>0</v>
      </c>
      <c r="E12" s="38">
        <v>2</v>
      </c>
      <c r="F12" s="38" t="s">
        <v>49</v>
      </c>
      <c r="G12" s="38">
        <v>3</v>
      </c>
      <c r="H12" s="38">
        <v>6</v>
      </c>
      <c r="I12" s="39" t="b">
        <v>1</v>
      </c>
      <c r="J12" s="38">
        <v>3</v>
      </c>
    </row>
    <row r="13" spans="1:10" ht="15.75" x14ac:dyDescent="0.25">
      <c r="A13" s="38" t="s">
        <v>19</v>
      </c>
      <c r="B13" s="38">
        <v>24</v>
      </c>
      <c r="C13" s="38">
        <v>30</v>
      </c>
      <c r="D13" s="39" t="b">
        <v>1</v>
      </c>
      <c r="E13" s="38">
        <v>1</v>
      </c>
      <c r="F13" s="38" t="s">
        <v>49</v>
      </c>
      <c r="G13" s="38">
        <v>16</v>
      </c>
      <c r="H13" s="38">
        <v>16</v>
      </c>
      <c r="I13" s="39" t="b">
        <v>1</v>
      </c>
      <c r="J13" s="38">
        <v>6</v>
      </c>
    </row>
    <row r="14" spans="1:10" ht="15.75" x14ac:dyDescent="0.25">
      <c r="A14" s="35" t="s">
        <v>19</v>
      </c>
      <c r="B14" s="35">
        <v>1</v>
      </c>
      <c r="C14" s="35">
        <v>2</v>
      </c>
      <c r="D14" s="37" t="b">
        <v>0</v>
      </c>
      <c r="E14" s="38">
        <v>7</v>
      </c>
      <c r="F14" s="38" t="s">
        <v>49</v>
      </c>
      <c r="G14" s="38">
        <v>7</v>
      </c>
      <c r="H14" s="38">
        <v>8</v>
      </c>
      <c r="I14" s="39" t="b">
        <v>0</v>
      </c>
      <c r="J14" s="38">
        <v>7</v>
      </c>
    </row>
    <row r="15" spans="1:10" ht="15.75" x14ac:dyDescent="0.25">
      <c r="A15" s="35" t="s">
        <v>44</v>
      </c>
      <c r="B15" s="35">
        <v>6</v>
      </c>
      <c r="C15" s="35">
        <v>6</v>
      </c>
      <c r="D15" s="37" t="b">
        <v>1</v>
      </c>
      <c r="E15" s="38">
        <v>4</v>
      </c>
      <c r="F15" s="38" t="s">
        <v>90</v>
      </c>
      <c r="G15" s="38">
        <v>24</v>
      </c>
      <c r="H15" s="38">
        <v>24</v>
      </c>
      <c r="I15" s="39" t="b">
        <v>0</v>
      </c>
      <c r="J15" s="38">
        <v>7</v>
      </c>
    </row>
    <row r="16" spans="1:10" ht="15.75" x14ac:dyDescent="0.25">
      <c r="A16" s="35" t="s">
        <v>44</v>
      </c>
      <c r="B16" s="35">
        <v>27</v>
      </c>
      <c r="C16" s="35">
        <v>27</v>
      </c>
      <c r="D16" s="37" t="b">
        <v>0</v>
      </c>
      <c r="E16" s="38">
        <v>5</v>
      </c>
      <c r="F16" s="38" t="s">
        <v>50</v>
      </c>
      <c r="G16" s="38">
        <v>7</v>
      </c>
      <c r="H16" s="38">
        <v>7</v>
      </c>
      <c r="I16" s="39" t="b">
        <v>0</v>
      </c>
      <c r="J16" s="38">
        <v>3</v>
      </c>
    </row>
    <row r="17" spans="1:10" ht="15.75" x14ac:dyDescent="0.25">
      <c r="A17" s="35" t="s">
        <v>75</v>
      </c>
      <c r="B17" s="35">
        <v>8</v>
      </c>
      <c r="C17" s="35">
        <v>10</v>
      </c>
      <c r="D17" s="37" t="b">
        <v>1</v>
      </c>
      <c r="E17" s="38">
        <v>5</v>
      </c>
      <c r="F17" s="38" t="s">
        <v>91</v>
      </c>
      <c r="G17" s="38">
        <v>25</v>
      </c>
      <c r="H17" s="38">
        <v>25</v>
      </c>
      <c r="I17" s="39" t="b">
        <v>0</v>
      </c>
      <c r="J17" s="38">
        <v>7</v>
      </c>
    </row>
    <row r="18" spans="1:10" ht="15.75" x14ac:dyDescent="0.25">
      <c r="A18" s="35" t="s">
        <v>75</v>
      </c>
      <c r="B18" s="35">
        <v>22</v>
      </c>
      <c r="C18" s="35">
        <v>22</v>
      </c>
      <c r="D18" s="37" t="b">
        <v>0</v>
      </c>
      <c r="E18" s="38">
        <v>6</v>
      </c>
      <c r="F18" s="38" t="s">
        <v>28</v>
      </c>
      <c r="G18" s="38">
        <v>15</v>
      </c>
      <c r="H18" s="38">
        <v>15</v>
      </c>
      <c r="I18" s="39" t="b">
        <v>0</v>
      </c>
      <c r="J18" s="38">
        <v>2</v>
      </c>
    </row>
    <row r="19" spans="1:10" ht="15.75" x14ac:dyDescent="0.25">
      <c r="A19" s="35" t="s">
        <v>77</v>
      </c>
      <c r="B19" s="35">
        <v>12</v>
      </c>
      <c r="C19" s="35">
        <v>12</v>
      </c>
      <c r="D19" s="37" t="b">
        <v>0</v>
      </c>
      <c r="E19" s="38">
        <v>5</v>
      </c>
      <c r="F19" s="38" t="s">
        <v>71</v>
      </c>
      <c r="G19" s="38">
        <v>26</v>
      </c>
      <c r="H19" s="38">
        <v>26</v>
      </c>
      <c r="I19" s="39" t="b">
        <v>0</v>
      </c>
      <c r="J19" s="38">
        <v>5</v>
      </c>
    </row>
    <row r="20" spans="1:10" ht="15.75" x14ac:dyDescent="0.25">
      <c r="A20" s="38" t="s">
        <v>26</v>
      </c>
      <c r="B20" s="38">
        <v>11</v>
      </c>
      <c r="C20" s="38">
        <v>13</v>
      </c>
      <c r="D20" s="39" t="b">
        <v>1</v>
      </c>
      <c r="E20" s="38">
        <v>2</v>
      </c>
      <c r="F20" s="38" t="s">
        <v>37</v>
      </c>
      <c r="G20" s="38">
        <v>32</v>
      </c>
      <c r="H20" s="38">
        <v>32</v>
      </c>
      <c r="I20" s="39" t="b">
        <v>0</v>
      </c>
      <c r="J20" s="38">
        <v>2</v>
      </c>
    </row>
    <row r="21" spans="1:10" ht="31.5" x14ac:dyDescent="0.25">
      <c r="A21" s="35" t="s">
        <v>26</v>
      </c>
      <c r="B21" s="35">
        <v>31</v>
      </c>
      <c r="C21" s="35">
        <v>31</v>
      </c>
      <c r="D21" s="37" t="b">
        <v>1</v>
      </c>
      <c r="E21" s="38">
        <v>6</v>
      </c>
      <c r="F21" s="38" t="s">
        <v>79</v>
      </c>
      <c r="G21" s="38">
        <v>14</v>
      </c>
      <c r="H21" s="38">
        <v>14</v>
      </c>
      <c r="I21" s="39" t="b">
        <v>0</v>
      </c>
      <c r="J21" s="38">
        <v>5</v>
      </c>
    </row>
    <row r="22" spans="1:10" ht="31.5" x14ac:dyDescent="0.25">
      <c r="A22" s="38" t="s">
        <v>7</v>
      </c>
      <c r="B22" s="38">
        <v>6</v>
      </c>
      <c r="C22" s="38">
        <v>6</v>
      </c>
      <c r="D22" s="39" t="b">
        <v>0</v>
      </c>
      <c r="E22" s="38">
        <v>1</v>
      </c>
      <c r="F22" s="38" t="s">
        <v>67</v>
      </c>
      <c r="G22" s="38">
        <v>22</v>
      </c>
      <c r="H22" s="38">
        <v>22</v>
      </c>
      <c r="I22" s="39" t="b">
        <v>0</v>
      </c>
      <c r="J22" s="38">
        <v>5</v>
      </c>
    </row>
    <row r="23" spans="1:10" ht="15.75" x14ac:dyDescent="0.25">
      <c r="A23" s="38" t="s">
        <v>15</v>
      </c>
      <c r="B23" s="38">
        <v>20</v>
      </c>
      <c r="C23" s="38">
        <v>20</v>
      </c>
      <c r="D23" s="39" t="b">
        <v>0</v>
      </c>
      <c r="E23" s="38">
        <v>1</v>
      </c>
      <c r="F23" s="38" t="s">
        <v>45</v>
      </c>
      <c r="G23" s="38">
        <v>7</v>
      </c>
      <c r="H23" s="38">
        <v>7</v>
      </c>
      <c r="I23" s="39" t="b">
        <v>0</v>
      </c>
      <c r="J23" s="38">
        <v>4</v>
      </c>
    </row>
    <row r="24" spans="1:10" ht="15.75" x14ac:dyDescent="0.25">
      <c r="A24" s="38" t="s">
        <v>21</v>
      </c>
      <c r="B24" s="38">
        <v>32</v>
      </c>
      <c r="C24" s="38">
        <v>32</v>
      </c>
      <c r="D24" s="39" t="b">
        <v>1</v>
      </c>
      <c r="E24" s="38">
        <v>1</v>
      </c>
      <c r="F24" s="38" t="s">
        <v>80</v>
      </c>
      <c r="G24" s="38">
        <v>15</v>
      </c>
      <c r="H24" s="38">
        <v>15</v>
      </c>
      <c r="I24" s="39" t="b">
        <v>0</v>
      </c>
      <c r="J24" s="38">
        <v>5</v>
      </c>
    </row>
    <row r="25" spans="1:10" ht="15.75" x14ac:dyDescent="0.25">
      <c r="A25" s="35" t="s">
        <v>21</v>
      </c>
      <c r="B25" s="35">
        <v>9</v>
      </c>
      <c r="C25" s="35">
        <v>9</v>
      </c>
      <c r="D25" s="37" t="b">
        <v>0</v>
      </c>
      <c r="E25" s="38">
        <v>6</v>
      </c>
      <c r="F25" s="38" t="s">
        <v>20</v>
      </c>
      <c r="G25" s="38">
        <v>31</v>
      </c>
      <c r="H25" s="38">
        <v>31</v>
      </c>
      <c r="I25" s="39" t="b">
        <v>0</v>
      </c>
      <c r="J25" s="38">
        <v>1</v>
      </c>
    </row>
    <row r="26" spans="1:10" ht="15.75" x14ac:dyDescent="0.25">
      <c r="A26" s="35" t="s">
        <v>48</v>
      </c>
      <c r="B26" s="35">
        <v>2</v>
      </c>
      <c r="C26" s="35">
        <v>2</v>
      </c>
      <c r="D26" s="37" t="b">
        <v>1</v>
      </c>
      <c r="E26" s="38">
        <v>3</v>
      </c>
      <c r="F26" s="38" t="s">
        <v>68</v>
      </c>
      <c r="G26" s="38">
        <v>23</v>
      </c>
      <c r="H26" s="38">
        <v>23</v>
      </c>
      <c r="I26" s="39" t="b">
        <v>0</v>
      </c>
      <c r="J26" s="38">
        <v>5</v>
      </c>
    </row>
    <row r="27" spans="1:10" ht="15.75" x14ac:dyDescent="0.25">
      <c r="A27" s="35" t="s">
        <v>48</v>
      </c>
      <c r="B27" s="35">
        <v>17</v>
      </c>
      <c r="C27" s="35">
        <v>17</v>
      </c>
      <c r="D27" s="37" t="b">
        <v>1</v>
      </c>
      <c r="E27" s="38">
        <v>6</v>
      </c>
      <c r="F27" s="38" t="s">
        <v>46</v>
      </c>
      <c r="G27" s="38">
        <v>8</v>
      </c>
      <c r="H27" s="38">
        <v>9</v>
      </c>
      <c r="I27" s="39" t="b">
        <v>1</v>
      </c>
      <c r="J27" s="38">
        <v>4</v>
      </c>
    </row>
    <row r="28" spans="1:10" ht="15.75" x14ac:dyDescent="0.25">
      <c r="A28" s="35" t="s">
        <v>48</v>
      </c>
      <c r="B28" s="35">
        <v>25</v>
      </c>
      <c r="C28" s="35">
        <v>25</v>
      </c>
      <c r="D28" s="37" t="b">
        <v>0</v>
      </c>
      <c r="E28" s="38">
        <v>6</v>
      </c>
      <c r="F28" s="38" t="s">
        <v>46</v>
      </c>
      <c r="G28" s="38">
        <v>8</v>
      </c>
      <c r="H28" s="38">
        <v>8</v>
      </c>
      <c r="I28" s="39" t="b">
        <v>0</v>
      </c>
      <c r="J28" s="38">
        <v>6</v>
      </c>
    </row>
    <row r="29" spans="1:10" ht="31.5" x14ac:dyDescent="0.25">
      <c r="A29" s="38" t="s">
        <v>27</v>
      </c>
      <c r="B29" s="38">
        <v>14</v>
      </c>
      <c r="C29" s="38">
        <v>14</v>
      </c>
      <c r="D29" s="39" t="b">
        <v>0</v>
      </c>
      <c r="E29" s="38">
        <v>2</v>
      </c>
      <c r="F29" s="38" t="s">
        <v>16</v>
      </c>
      <c r="G29" s="38">
        <v>21</v>
      </c>
      <c r="H29" s="38">
        <v>21</v>
      </c>
      <c r="I29" s="39" t="b">
        <v>0</v>
      </c>
      <c r="J29" s="38">
        <v>1</v>
      </c>
    </row>
    <row r="30" spans="1:10" ht="15.75" x14ac:dyDescent="0.25">
      <c r="A30" s="38" t="s">
        <v>14</v>
      </c>
      <c r="B30" s="38">
        <v>19</v>
      </c>
      <c r="C30" s="38">
        <v>19</v>
      </c>
      <c r="D30" s="39" t="b">
        <v>0</v>
      </c>
      <c r="E30" s="38">
        <v>1</v>
      </c>
      <c r="F30" s="38" t="s">
        <v>36</v>
      </c>
      <c r="G30" s="38">
        <v>31</v>
      </c>
      <c r="H30" s="38">
        <v>31</v>
      </c>
      <c r="I30" s="39" t="b">
        <v>1</v>
      </c>
      <c r="J30" s="38">
        <v>2</v>
      </c>
    </row>
    <row r="31" spans="1:10" ht="15.75" x14ac:dyDescent="0.25">
      <c r="A31" s="38" t="s">
        <v>31</v>
      </c>
      <c r="B31" s="38">
        <v>20</v>
      </c>
      <c r="C31" s="38">
        <v>20</v>
      </c>
      <c r="D31" s="39" t="b">
        <v>0</v>
      </c>
      <c r="E31" s="38">
        <v>2</v>
      </c>
      <c r="F31" s="38" t="s">
        <v>36</v>
      </c>
      <c r="G31" s="38">
        <v>12</v>
      </c>
      <c r="H31" s="38">
        <v>12</v>
      </c>
      <c r="I31" s="39" t="b">
        <v>1</v>
      </c>
      <c r="J31" s="38">
        <v>6</v>
      </c>
    </row>
    <row r="32" spans="1:10" ht="15.75" x14ac:dyDescent="0.25">
      <c r="A32" s="35" t="s">
        <v>51</v>
      </c>
      <c r="B32" s="35">
        <v>8</v>
      </c>
      <c r="C32" s="35">
        <v>11</v>
      </c>
      <c r="D32" s="37" t="b">
        <v>1</v>
      </c>
      <c r="E32" s="38">
        <v>3</v>
      </c>
      <c r="F32" s="38" t="s">
        <v>36</v>
      </c>
      <c r="G32" s="38">
        <v>21</v>
      </c>
      <c r="H32" s="38">
        <v>21</v>
      </c>
      <c r="I32" s="39" t="b">
        <v>0</v>
      </c>
      <c r="J32" s="38">
        <v>6</v>
      </c>
    </row>
    <row r="33" spans="1:10" ht="31.5" x14ac:dyDescent="0.25">
      <c r="A33" s="38" t="s">
        <v>8</v>
      </c>
      <c r="B33" s="38">
        <v>7</v>
      </c>
      <c r="C33" s="38">
        <v>7</v>
      </c>
      <c r="D33" s="39" t="b">
        <v>0</v>
      </c>
      <c r="E33" s="38">
        <v>1</v>
      </c>
      <c r="F33" s="38" t="s">
        <v>62</v>
      </c>
      <c r="G33" s="38">
        <v>17</v>
      </c>
      <c r="H33" s="38">
        <v>17</v>
      </c>
      <c r="I33" s="39" t="b">
        <v>0</v>
      </c>
      <c r="J33" s="38">
        <v>2</v>
      </c>
    </row>
    <row r="34" spans="1:10" ht="15.75" x14ac:dyDescent="0.25">
      <c r="A34" s="38" t="s">
        <v>34</v>
      </c>
      <c r="B34" s="38">
        <v>26</v>
      </c>
      <c r="C34" s="38">
        <v>28</v>
      </c>
      <c r="D34" s="39" t="b">
        <v>1</v>
      </c>
      <c r="E34" s="38">
        <v>2</v>
      </c>
      <c r="F34" s="38" t="s">
        <v>32</v>
      </c>
      <c r="G34" s="38">
        <v>21</v>
      </c>
      <c r="H34" s="38">
        <v>21</v>
      </c>
      <c r="I34" s="39" t="b">
        <v>0</v>
      </c>
      <c r="J34" s="38">
        <v>2</v>
      </c>
    </row>
    <row r="35" spans="1:10" ht="31.5" x14ac:dyDescent="0.25">
      <c r="A35" s="35" t="s">
        <v>34</v>
      </c>
      <c r="B35" s="35">
        <v>20</v>
      </c>
      <c r="C35" s="35">
        <v>20</v>
      </c>
      <c r="D35" s="37" t="b">
        <v>0</v>
      </c>
      <c r="E35" s="38">
        <v>7</v>
      </c>
      <c r="F35" s="38" t="s">
        <v>84</v>
      </c>
      <c r="G35" s="38">
        <v>19</v>
      </c>
      <c r="H35" s="38">
        <v>19</v>
      </c>
      <c r="I35" s="39" t="b">
        <v>0</v>
      </c>
      <c r="J35" s="38">
        <v>5</v>
      </c>
    </row>
    <row r="36" spans="1:10" ht="15.75" x14ac:dyDescent="0.25">
      <c r="A36" s="38" t="s">
        <v>5</v>
      </c>
      <c r="B36" s="38">
        <v>3</v>
      </c>
      <c r="C36" s="38">
        <v>3</v>
      </c>
      <c r="D36" s="39" t="b">
        <v>0</v>
      </c>
      <c r="E36" s="38">
        <v>1</v>
      </c>
      <c r="F36" s="38" t="s">
        <v>24</v>
      </c>
      <c r="G36" s="38">
        <v>5</v>
      </c>
      <c r="H36" s="38">
        <v>5</v>
      </c>
      <c r="I36" s="39" t="b">
        <v>0</v>
      </c>
      <c r="J36" s="38">
        <v>2</v>
      </c>
    </row>
    <row r="37" spans="1:10" ht="15.75" x14ac:dyDescent="0.25">
      <c r="A37" s="35" t="s">
        <v>76</v>
      </c>
      <c r="B37" s="35">
        <v>11</v>
      </c>
      <c r="C37" s="35">
        <v>11</v>
      </c>
      <c r="D37" s="37" t="b">
        <v>0</v>
      </c>
      <c r="E37" s="38">
        <v>5</v>
      </c>
      <c r="F37" s="38" t="s">
        <v>11</v>
      </c>
      <c r="G37" s="38">
        <v>15</v>
      </c>
      <c r="H37" s="38">
        <v>15</v>
      </c>
      <c r="I37" s="39" t="b">
        <v>0</v>
      </c>
      <c r="J37" s="38">
        <v>1</v>
      </c>
    </row>
    <row r="38" spans="1:10" ht="15.75" x14ac:dyDescent="0.25">
      <c r="A38" s="38" t="s">
        <v>29</v>
      </c>
      <c r="B38" s="38">
        <v>18</v>
      </c>
      <c r="C38" s="38">
        <v>18</v>
      </c>
      <c r="D38" s="39" t="b">
        <v>1</v>
      </c>
      <c r="E38" s="38">
        <v>2</v>
      </c>
      <c r="F38" s="38" t="s">
        <v>57</v>
      </c>
      <c r="G38" s="38">
        <v>30</v>
      </c>
      <c r="H38" s="38">
        <v>30</v>
      </c>
      <c r="I38" s="39" t="b">
        <v>0</v>
      </c>
      <c r="J38" s="38">
        <v>2</v>
      </c>
    </row>
    <row r="39" spans="1:10" ht="15.75" x14ac:dyDescent="0.25">
      <c r="A39" s="35" t="s">
        <v>92</v>
      </c>
      <c r="B39" s="35">
        <v>11</v>
      </c>
      <c r="C39" s="35">
        <v>12</v>
      </c>
      <c r="D39" s="37" t="b">
        <v>1</v>
      </c>
      <c r="E39" s="38">
        <v>7</v>
      </c>
      <c r="F39" s="38" t="s">
        <v>17</v>
      </c>
      <c r="G39" s="38">
        <v>22</v>
      </c>
      <c r="H39" s="38">
        <v>22</v>
      </c>
      <c r="I39" s="39" t="b">
        <v>0</v>
      </c>
      <c r="J39" s="38">
        <v>1</v>
      </c>
    </row>
    <row r="40" spans="1:10" ht="15.75" x14ac:dyDescent="0.25">
      <c r="A40" s="35" t="s">
        <v>92</v>
      </c>
      <c r="B40" s="35">
        <v>21</v>
      </c>
      <c r="C40" s="35">
        <v>21</v>
      </c>
      <c r="D40" s="37" t="b">
        <v>0</v>
      </c>
      <c r="E40" s="38">
        <v>7</v>
      </c>
      <c r="F40" s="38" t="s">
        <v>43</v>
      </c>
      <c r="G40" s="38">
        <v>1</v>
      </c>
      <c r="H40" s="38">
        <v>5</v>
      </c>
      <c r="I40" s="39" t="b">
        <v>1</v>
      </c>
      <c r="J40" s="38">
        <v>4</v>
      </c>
    </row>
    <row r="41" spans="1:10" ht="15.75" x14ac:dyDescent="0.25">
      <c r="A41" s="35" t="s">
        <v>52</v>
      </c>
      <c r="B41" s="35">
        <v>12</v>
      </c>
      <c r="C41" s="35">
        <v>22</v>
      </c>
      <c r="D41" s="37" t="b">
        <v>1</v>
      </c>
      <c r="E41" s="38">
        <v>3</v>
      </c>
      <c r="F41" s="38" t="s">
        <v>43</v>
      </c>
      <c r="G41" s="38">
        <v>3</v>
      </c>
      <c r="H41" s="38">
        <v>5</v>
      </c>
      <c r="I41" s="39" t="b">
        <v>0</v>
      </c>
      <c r="J41" s="38">
        <v>6</v>
      </c>
    </row>
    <row r="42" spans="1:10" ht="15.75" x14ac:dyDescent="0.25">
      <c r="A42" s="35" t="s">
        <v>38</v>
      </c>
      <c r="B42" s="35">
        <v>18</v>
      </c>
      <c r="C42" s="35">
        <v>28</v>
      </c>
      <c r="D42" s="37" t="b">
        <v>1</v>
      </c>
      <c r="E42" s="38">
        <v>4</v>
      </c>
      <c r="F42" s="38" t="s">
        <v>85</v>
      </c>
      <c r="G42" s="38">
        <v>20</v>
      </c>
      <c r="H42" s="38">
        <v>20</v>
      </c>
      <c r="I42" s="39" t="b">
        <v>1</v>
      </c>
      <c r="J42" s="38">
        <v>5</v>
      </c>
    </row>
    <row r="43" spans="1:10" ht="15.75" x14ac:dyDescent="0.25">
      <c r="A43" s="35" t="s">
        <v>38</v>
      </c>
      <c r="B43" s="35">
        <v>1</v>
      </c>
      <c r="C43" s="35">
        <v>2</v>
      </c>
      <c r="D43" s="37" t="b">
        <v>1</v>
      </c>
      <c r="E43" s="38">
        <v>6</v>
      </c>
      <c r="F43" s="38" t="s">
        <v>85</v>
      </c>
      <c r="G43" s="38">
        <v>10</v>
      </c>
      <c r="H43" s="38">
        <v>10</v>
      </c>
      <c r="I43" s="39" t="b">
        <v>0</v>
      </c>
      <c r="J43" s="38">
        <v>7</v>
      </c>
    </row>
    <row r="44" spans="1:10" ht="15.75" x14ac:dyDescent="0.25">
      <c r="A44" s="35" t="s">
        <v>38</v>
      </c>
      <c r="B44" s="35">
        <v>10</v>
      </c>
      <c r="C44" s="35">
        <v>10</v>
      </c>
      <c r="D44" s="37" t="b">
        <v>0</v>
      </c>
      <c r="E44" s="38">
        <v>6</v>
      </c>
      <c r="F44" s="38" t="s">
        <v>18</v>
      </c>
      <c r="G44" s="38">
        <v>23</v>
      </c>
      <c r="H44" s="38">
        <v>23</v>
      </c>
      <c r="I44" s="39" t="b">
        <v>0</v>
      </c>
      <c r="J44" s="38">
        <v>1</v>
      </c>
    </row>
    <row r="45" spans="1:10" ht="15.75" x14ac:dyDescent="0.25">
      <c r="A45" s="35" t="s">
        <v>38</v>
      </c>
      <c r="B45" s="35">
        <v>22</v>
      </c>
      <c r="C45" s="35">
        <v>22</v>
      </c>
      <c r="D45" s="37" t="b">
        <v>1</v>
      </c>
      <c r="E45" s="38">
        <v>7</v>
      </c>
      <c r="F45" s="38" t="s">
        <v>6</v>
      </c>
      <c r="G45" s="38">
        <v>4</v>
      </c>
      <c r="H45" s="38">
        <v>5</v>
      </c>
      <c r="I45" s="39" t="b">
        <v>1</v>
      </c>
      <c r="J45" s="38">
        <v>1</v>
      </c>
    </row>
    <row r="46" spans="1:10" ht="15.75" x14ac:dyDescent="0.25">
      <c r="A46" s="35" t="s">
        <v>88</v>
      </c>
      <c r="B46" s="35">
        <v>19</v>
      </c>
      <c r="C46" s="35">
        <v>19</v>
      </c>
      <c r="D46" s="37" t="b">
        <v>0</v>
      </c>
      <c r="E46" s="38">
        <v>6</v>
      </c>
      <c r="F46" s="38" t="s">
        <v>6</v>
      </c>
      <c r="G46" s="38">
        <v>10</v>
      </c>
      <c r="H46" s="38">
        <v>17</v>
      </c>
      <c r="I46" s="39" t="b">
        <v>1</v>
      </c>
      <c r="J46" s="38">
        <v>4</v>
      </c>
    </row>
    <row r="47" spans="1:10" ht="15.75" x14ac:dyDescent="0.25">
      <c r="A47" s="35" t="s">
        <v>87</v>
      </c>
      <c r="B47" s="35">
        <v>15</v>
      </c>
      <c r="C47" s="35">
        <v>15</v>
      </c>
      <c r="D47" s="37" t="b">
        <v>1</v>
      </c>
      <c r="E47" s="38">
        <v>6</v>
      </c>
      <c r="F47" s="38" t="s">
        <v>6</v>
      </c>
      <c r="G47" s="38">
        <v>15</v>
      </c>
      <c r="H47" s="38">
        <v>15</v>
      </c>
      <c r="I47" s="39" t="b">
        <v>1</v>
      </c>
      <c r="J47" s="38">
        <v>7</v>
      </c>
    </row>
    <row r="48" spans="1:10" ht="15.75" x14ac:dyDescent="0.25">
      <c r="A48" s="35" t="s">
        <v>87</v>
      </c>
      <c r="B48" s="35">
        <v>18</v>
      </c>
      <c r="C48" s="35">
        <v>18</v>
      </c>
      <c r="D48" s="37" t="b">
        <v>0</v>
      </c>
      <c r="E48" s="38">
        <v>7</v>
      </c>
      <c r="F48" s="38" t="s">
        <v>6</v>
      </c>
      <c r="G48" s="38">
        <v>32</v>
      </c>
      <c r="H48" s="38">
        <v>32</v>
      </c>
      <c r="I48" s="39" t="b">
        <v>0</v>
      </c>
      <c r="J48" s="38">
        <v>7</v>
      </c>
    </row>
    <row r="49" spans="1:10" ht="15.75" x14ac:dyDescent="0.25">
      <c r="A49" s="35" t="s">
        <v>39</v>
      </c>
      <c r="B49" s="35">
        <v>29</v>
      </c>
      <c r="C49" s="35">
        <v>29</v>
      </c>
      <c r="D49" s="37" t="b">
        <v>0</v>
      </c>
      <c r="E49" s="38">
        <v>4</v>
      </c>
      <c r="F49" s="38"/>
      <c r="G49" s="38"/>
      <c r="H49" s="38"/>
      <c r="I49" s="38"/>
      <c r="J49" s="38"/>
    </row>
    <row r="50" spans="1:10" ht="15.75" x14ac:dyDescent="0.25">
      <c r="A50" s="35" t="s">
        <v>81</v>
      </c>
      <c r="B50" s="35">
        <v>16</v>
      </c>
      <c r="C50" s="35">
        <v>16</v>
      </c>
      <c r="D50" s="37" t="b">
        <v>0</v>
      </c>
      <c r="E50" s="38">
        <v>5</v>
      </c>
      <c r="F50" s="38"/>
      <c r="G50" s="38"/>
      <c r="H50" s="38"/>
      <c r="I50" s="38"/>
      <c r="J50" s="38"/>
    </row>
    <row r="51" spans="1:10" ht="15.75" x14ac:dyDescent="0.25">
      <c r="A51" s="38" t="s">
        <v>30</v>
      </c>
      <c r="B51" s="38">
        <v>19</v>
      </c>
      <c r="C51" s="38">
        <v>19</v>
      </c>
      <c r="D51" s="39" t="b">
        <v>0</v>
      </c>
      <c r="E51" s="38">
        <v>2</v>
      </c>
      <c r="F51" s="38"/>
      <c r="G51" s="38"/>
      <c r="H51" s="38"/>
      <c r="I51" s="38"/>
      <c r="J51" s="38"/>
    </row>
    <row r="52" spans="1:10" ht="31.5" x14ac:dyDescent="0.25">
      <c r="A52" s="35" t="s">
        <v>70</v>
      </c>
      <c r="B52" s="35">
        <v>25</v>
      </c>
      <c r="C52" s="35">
        <v>25</v>
      </c>
      <c r="D52" s="37" t="b">
        <v>0</v>
      </c>
      <c r="E52" s="38">
        <v>5</v>
      </c>
      <c r="F52" s="38"/>
      <c r="G52" s="38"/>
      <c r="H52" s="38"/>
      <c r="I52" s="38"/>
      <c r="J52" s="38"/>
    </row>
    <row r="53" spans="1:10" ht="15.75" x14ac:dyDescent="0.25">
      <c r="A53" s="35" t="s">
        <v>47</v>
      </c>
      <c r="B53" s="35">
        <v>1</v>
      </c>
      <c r="C53" s="35">
        <v>1</v>
      </c>
      <c r="D53" s="37" t="b">
        <v>0</v>
      </c>
      <c r="E53" s="38">
        <v>3</v>
      </c>
      <c r="F53" s="38"/>
      <c r="G53" s="38"/>
      <c r="H53" s="38"/>
      <c r="I53" s="38"/>
      <c r="J53" s="38"/>
    </row>
    <row r="54" spans="1:10" ht="15.75" x14ac:dyDescent="0.25">
      <c r="A54" s="35" t="s">
        <v>95</v>
      </c>
      <c r="B54" s="35">
        <v>19</v>
      </c>
      <c r="C54" s="35">
        <v>19</v>
      </c>
      <c r="D54" s="37" t="b">
        <v>0</v>
      </c>
      <c r="E54" s="38">
        <v>7</v>
      </c>
      <c r="F54" s="38"/>
      <c r="G54" s="38"/>
      <c r="H54" s="38"/>
      <c r="I54" s="38"/>
      <c r="J54" s="38"/>
    </row>
    <row r="55" spans="1:10" ht="15.75" x14ac:dyDescent="0.25">
      <c r="A55" s="38" t="s">
        <v>12</v>
      </c>
      <c r="B55" s="38">
        <v>16</v>
      </c>
      <c r="C55" s="38">
        <v>17</v>
      </c>
      <c r="D55" s="39" t="b">
        <v>0</v>
      </c>
      <c r="E55" s="38">
        <v>1</v>
      </c>
      <c r="F55" s="38"/>
      <c r="G55" s="38"/>
      <c r="H55" s="38"/>
      <c r="I55" s="38"/>
      <c r="J55" s="38"/>
    </row>
    <row r="56" spans="1:10" ht="15.75" x14ac:dyDescent="0.25">
      <c r="A56" s="35" t="s">
        <v>64</v>
      </c>
      <c r="B56" s="35">
        <v>29</v>
      </c>
      <c r="C56" s="35">
        <v>30</v>
      </c>
      <c r="D56" s="37" t="b">
        <v>0</v>
      </c>
      <c r="E56" s="38">
        <v>5</v>
      </c>
      <c r="F56" s="38"/>
      <c r="G56" s="38"/>
      <c r="H56" s="38"/>
      <c r="I56" s="38"/>
      <c r="J56" s="38"/>
    </row>
    <row r="57" spans="1:10" ht="15.75" x14ac:dyDescent="0.25">
      <c r="A57" s="38" t="s">
        <v>59</v>
      </c>
      <c r="B57" s="38">
        <v>9</v>
      </c>
      <c r="C57" s="38">
        <v>9</v>
      </c>
      <c r="D57" s="39" t="b">
        <v>0</v>
      </c>
      <c r="E57" s="38">
        <v>2</v>
      </c>
      <c r="F57" s="38"/>
      <c r="G57" s="38"/>
      <c r="H57" s="38"/>
      <c r="I57" s="38"/>
      <c r="J57" s="38"/>
    </row>
    <row r="58" spans="1:10" ht="15.75" x14ac:dyDescent="0.25">
      <c r="A58" s="38" t="s">
        <v>3</v>
      </c>
      <c r="B58" s="38">
        <v>1</v>
      </c>
      <c r="C58" s="38">
        <v>2</v>
      </c>
      <c r="D58" s="39" t="b">
        <v>1</v>
      </c>
      <c r="E58" s="38">
        <v>1</v>
      </c>
      <c r="F58" s="38"/>
      <c r="G58" s="38"/>
      <c r="H58" s="38"/>
      <c r="I58" s="38"/>
      <c r="J58" s="38"/>
    </row>
    <row r="59" spans="1:10" ht="15.75" x14ac:dyDescent="0.25">
      <c r="A59" s="35" t="s">
        <v>3</v>
      </c>
      <c r="B59" s="35">
        <v>13</v>
      </c>
      <c r="C59" s="35">
        <v>13</v>
      </c>
      <c r="D59" s="37" t="b">
        <v>1</v>
      </c>
      <c r="E59" s="38">
        <v>6</v>
      </c>
      <c r="F59" s="38"/>
      <c r="G59" s="38"/>
      <c r="H59" s="38"/>
      <c r="I59" s="38"/>
      <c r="J59" s="38"/>
    </row>
    <row r="60" spans="1:10" ht="15.75" x14ac:dyDescent="0.25">
      <c r="A60" s="35" t="s">
        <v>3</v>
      </c>
      <c r="B60" s="35">
        <v>27</v>
      </c>
      <c r="C60" s="35">
        <v>28</v>
      </c>
      <c r="D60" s="37" t="b">
        <v>0</v>
      </c>
      <c r="E60" s="38">
        <v>6</v>
      </c>
      <c r="F60" s="38"/>
      <c r="G60" s="38"/>
      <c r="H60" s="38"/>
      <c r="I60" s="38"/>
      <c r="J60" s="38"/>
    </row>
    <row r="61" spans="1:10" ht="15.75" x14ac:dyDescent="0.25">
      <c r="A61" s="38" t="s">
        <v>63</v>
      </c>
      <c r="B61" s="38">
        <v>22</v>
      </c>
      <c r="C61" s="38">
        <v>24</v>
      </c>
      <c r="D61" s="39" t="b">
        <v>1</v>
      </c>
      <c r="E61" s="38">
        <v>2</v>
      </c>
      <c r="F61" s="38"/>
      <c r="G61" s="38"/>
      <c r="H61" s="38"/>
      <c r="I61" s="38"/>
      <c r="J61" s="38"/>
    </row>
    <row r="62" spans="1:10" ht="15.75" x14ac:dyDescent="0.25">
      <c r="A62" s="35" t="s">
        <v>63</v>
      </c>
      <c r="B62" s="35">
        <v>18</v>
      </c>
      <c r="C62" s="35">
        <v>18</v>
      </c>
      <c r="D62" s="37" t="b">
        <v>0</v>
      </c>
      <c r="E62" s="38">
        <v>6</v>
      </c>
      <c r="F62" s="38"/>
      <c r="G62" s="38"/>
      <c r="H62" s="38"/>
      <c r="I62" s="38"/>
      <c r="J62" s="38"/>
    </row>
    <row r="63" spans="1:10" ht="15.75" x14ac:dyDescent="0.25">
      <c r="A63" s="35" t="s">
        <v>73</v>
      </c>
      <c r="B63" s="35">
        <v>1</v>
      </c>
      <c r="C63" s="35">
        <v>4</v>
      </c>
      <c r="D63" s="37" t="b">
        <v>1</v>
      </c>
      <c r="E63" s="38">
        <v>5</v>
      </c>
      <c r="F63" s="38"/>
      <c r="G63" s="38"/>
      <c r="H63" s="38"/>
      <c r="I63" s="38"/>
      <c r="J63" s="38"/>
    </row>
    <row r="64" spans="1:10" ht="15.75" x14ac:dyDescent="0.25">
      <c r="A64" s="35" t="s">
        <v>73</v>
      </c>
      <c r="B64" s="35">
        <v>29</v>
      </c>
      <c r="C64" s="35">
        <v>31</v>
      </c>
      <c r="D64" s="37" t="b">
        <v>0</v>
      </c>
      <c r="E64" s="38">
        <v>7</v>
      </c>
      <c r="F64" s="38"/>
      <c r="G64" s="38"/>
      <c r="H64" s="38"/>
      <c r="I64" s="38"/>
      <c r="J64" s="38"/>
    </row>
    <row r="65" spans="1:10" ht="15.75" x14ac:dyDescent="0.25">
      <c r="A65" s="35" t="s">
        <v>56</v>
      </c>
      <c r="B65" s="35">
        <v>32</v>
      </c>
      <c r="C65" s="35"/>
      <c r="D65" s="37" t="b">
        <v>0</v>
      </c>
      <c r="E65" s="38">
        <v>3</v>
      </c>
      <c r="F65" s="38"/>
      <c r="G65" s="38"/>
      <c r="H65" s="38"/>
      <c r="I65" s="38"/>
      <c r="J65" s="38"/>
    </row>
    <row r="66" spans="1:10" ht="15.75" x14ac:dyDescent="0.25">
      <c r="A66" s="38" t="s">
        <v>13</v>
      </c>
      <c r="B66" s="38">
        <v>18</v>
      </c>
      <c r="C66" s="38">
        <v>18</v>
      </c>
      <c r="D66" s="39" t="b">
        <v>0</v>
      </c>
      <c r="E66" s="38">
        <v>1</v>
      </c>
      <c r="F66" s="38"/>
      <c r="G66" s="38"/>
      <c r="H66" s="38"/>
      <c r="I66" s="38"/>
      <c r="J66" s="38"/>
    </row>
    <row r="67" spans="1:10" ht="15.75" x14ac:dyDescent="0.25">
      <c r="A67" s="35" t="s">
        <v>94</v>
      </c>
      <c r="B67" s="35">
        <v>17</v>
      </c>
      <c r="C67" s="35">
        <v>17</v>
      </c>
      <c r="D67" s="37" t="b">
        <v>0</v>
      </c>
      <c r="E67" s="38">
        <v>7</v>
      </c>
      <c r="F67" s="38"/>
      <c r="G67" s="38"/>
      <c r="H67" s="38"/>
      <c r="I67" s="38"/>
      <c r="J67" s="38"/>
    </row>
    <row r="68" spans="1:10" ht="15.75" x14ac:dyDescent="0.25">
      <c r="A68" s="38" t="s">
        <v>10</v>
      </c>
      <c r="B68" s="38">
        <v>10</v>
      </c>
      <c r="C68" s="38">
        <v>14</v>
      </c>
      <c r="D68" s="39" t="b">
        <v>0</v>
      </c>
      <c r="E68" s="38">
        <v>1</v>
      </c>
      <c r="F68" s="38"/>
      <c r="G68" s="38"/>
      <c r="H68" s="38"/>
      <c r="I68" s="38"/>
      <c r="J68" s="38"/>
    </row>
    <row r="69" spans="1:10" ht="15.75" x14ac:dyDescent="0.25">
      <c r="A69" s="38" t="s">
        <v>23</v>
      </c>
      <c r="B69" s="38">
        <v>1</v>
      </c>
      <c r="C69" s="38">
        <v>4</v>
      </c>
      <c r="D69" s="39" t="b">
        <v>0</v>
      </c>
      <c r="E69" s="38">
        <v>2</v>
      </c>
      <c r="F69" s="38"/>
      <c r="G69" s="38"/>
      <c r="H69" s="38"/>
      <c r="I69" s="38"/>
      <c r="J69" s="38"/>
    </row>
    <row r="70" spans="1:10" ht="15.75" x14ac:dyDescent="0.25">
      <c r="A70" s="35" t="s">
        <v>23</v>
      </c>
      <c r="B70" s="35">
        <v>6</v>
      </c>
      <c r="C70" s="35">
        <v>7</v>
      </c>
      <c r="D70" s="37" t="b">
        <v>0</v>
      </c>
      <c r="E70" s="38">
        <v>6</v>
      </c>
      <c r="F70" s="38"/>
      <c r="G70" s="38"/>
      <c r="H70" s="38"/>
      <c r="I70" s="38"/>
      <c r="J70" s="38"/>
    </row>
    <row r="71" spans="1:10" ht="15.75" x14ac:dyDescent="0.25">
      <c r="A71" s="35" t="s">
        <v>41</v>
      </c>
      <c r="B71" s="35">
        <v>31</v>
      </c>
      <c r="C71" s="35">
        <v>31</v>
      </c>
      <c r="D71" s="37" t="b">
        <v>0</v>
      </c>
      <c r="E71" s="38">
        <v>4</v>
      </c>
      <c r="F71" s="38"/>
      <c r="G71" s="38"/>
      <c r="H71" s="38"/>
      <c r="I71" s="38"/>
      <c r="J71" s="38"/>
    </row>
    <row r="72" spans="1:10" ht="15.75" x14ac:dyDescent="0.25">
      <c r="A72" s="35" t="s">
        <v>53</v>
      </c>
      <c r="B72" s="35">
        <v>23</v>
      </c>
      <c r="C72" s="35">
        <v>27</v>
      </c>
      <c r="D72" s="37" t="b">
        <v>1</v>
      </c>
      <c r="E72" s="38">
        <v>3</v>
      </c>
      <c r="F72" s="38"/>
      <c r="G72" s="38"/>
      <c r="H72" s="38"/>
      <c r="I72" s="38"/>
      <c r="J72" s="38"/>
    </row>
    <row r="73" spans="1:10" ht="15.75" x14ac:dyDescent="0.25">
      <c r="A73" s="35" t="s">
        <v>53</v>
      </c>
      <c r="B73" s="35">
        <v>3</v>
      </c>
      <c r="C73" s="35">
        <v>6</v>
      </c>
      <c r="D73" s="37" t="b">
        <v>0</v>
      </c>
      <c r="E73" s="38">
        <v>7</v>
      </c>
      <c r="F73" s="38"/>
      <c r="G73" s="38"/>
      <c r="H73" s="38"/>
      <c r="I73" s="38"/>
      <c r="J73" s="38"/>
    </row>
    <row r="74" spans="1:10" ht="15.75" x14ac:dyDescent="0.25">
      <c r="A74" s="35" t="s">
        <v>65</v>
      </c>
      <c r="B74" s="35">
        <v>32</v>
      </c>
      <c r="C74" s="35">
        <v>32</v>
      </c>
      <c r="D74" s="37" t="b">
        <v>0</v>
      </c>
      <c r="E74" s="38">
        <v>5</v>
      </c>
      <c r="F74" s="38"/>
      <c r="G74" s="38"/>
      <c r="H74" s="38"/>
      <c r="I74" s="38"/>
      <c r="J74" s="38"/>
    </row>
    <row r="75" spans="1:10" ht="15.75" x14ac:dyDescent="0.25">
      <c r="A75" s="38" t="s">
        <v>58</v>
      </c>
      <c r="B75" s="38">
        <v>6</v>
      </c>
      <c r="C75" s="38">
        <v>7</v>
      </c>
      <c r="D75" s="39" t="b">
        <v>0</v>
      </c>
      <c r="E75" s="38">
        <v>2</v>
      </c>
      <c r="F75" s="38"/>
      <c r="G75" s="38"/>
      <c r="H75" s="38"/>
      <c r="I75" s="38"/>
      <c r="J75" s="38"/>
    </row>
    <row r="76" spans="1:10" ht="15.75" x14ac:dyDescent="0.25">
      <c r="A76" s="35" t="s">
        <v>78</v>
      </c>
      <c r="B76" s="35">
        <v>13</v>
      </c>
      <c r="C76" s="35">
        <v>13</v>
      </c>
      <c r="D76" s="37" t="b">
        <v>0</v>
      </c>
      <c r="E76" s="38">
        <v>5</v>
      </c>
      <c r="F76" s="38"/>
      <c r="G76" s="38"/>
      <c r="H76" s="38"/>
      <c r="I76" s="38"/>
      <c r="J76" s="38"/>
    </row>
    <row r="77" spans="1:10" ht="15.75" x14ac:dyDescent="0.25">
      <c r="A77" s="38" t="s">
        <v>61</v>
      </c>
      <c r="B77" s="38">
        <v>16</v>
      </c>
      <c r="C77" s="38">
        <v>16</v>
      </c>
      <c r="D77" s="39" t="b">
        <v>0</v>
      </c>
      <c r="E77" s="38">
        <v>2</v>
      </c>
      <c r="F77" s="38"/>
      <c r="G77" s="38"/>
      <c r="H77" s="38"/>
      <c r="I77" s="38"/>
      <c r="J77" s="38"/>
    </row>
    <row r="78" spans="1:10" ht="15.75" x14ac:dyDescent="0.25">
      <c r="A78" s="35" t="s">
        <v>86</v>
      </c>
      <c r="B78" s="35">
        <v>11</v>
      </c>
      <c r="C78" s="35">
        <v>11</v>
      </c>
      <c r="D78" s="37" t="b">
        <v>0</v>
      </c>
      <c r="E78" s="38">
        <v>6</v>
      </c>
      <c r="F78" s="38"/>
      <c r="G78" s="38"/>
      <c r="H78" s="38"/>
      <c r="I78" s="38"/>
      <c r="J78" s="38"/>
    </row>
    <row r="79" spans="1:10" ht="15.75" x14ac:dyDescent="0.25">
      <c r="A79" s="35" t="s">
        <v>82</v>
      </c>
      <c r="B79" s="35">
        <v>17</v>
      </c>
      <c r="C79" s="35">
        <v>17</v>
      </c>
      <c r="D79" s="37" t="b">
        <v>1</v>
      </c>
      <c r="E79" s="38">
        <v>5</v>
      </c>
      <c r="F79" s="38"/>
      <c r="G79" s="38"/>
      <c r="H79" s="38"/>
      <c r="I79" s="38"/>
      <c r="J79" s="38"/>
    </row>
    <row r="80" spans="1:10" ht="15.75" x14ac:dyDescent="0.25">
      <c r="A80" s="35" t="s">
        <v>82</v>
      </c>
      <c r="B80" s="35">
        <v>20</v>
      </c>
      <c r="C80" s="35">
        <v>20</v>
      </c>
      <c r="D80" s="37" t="b">
        <v>0</v>
      </c>
      <c r="E80" s="38">
        <v>6</v>
      </c>
      <c r="F80" s="38"/>
      <c r="G80" s="38"/>
      <c r="H80" s="38"/>
      <c r="I80" s="38"/>
      <c r="J80" s="38"/>
    </row>
    <row r="81" spans="1:10" ht="15.75" x14ac:dyDescent="0.25">
      <c r="A81" s="35" t="s">
        <v>93</v>
      </c>
      <c r="B81" s="35">
        <v>13</v>
      </c>
      <c r="C81" s="35">
        <v>14</v>
      </c>
      <c r="D81" s="37" t="b">
        <v>0</v>
      </c>
      <c r="E81" s="38">
        <v>7</v>
      </c>
      <c r="F81" s="38"/>
      <c r="G81" s="38"/>
      <c r="H81" s="38"/>
      <c r="I81" s="38"/>
      <c r="J81" s="38"/>
    </row>
    <row r="82" spans="1:10" ht="15.75" x14ac:dyDescent="0.25">
      <c r="A82" s="35"/>
      <c r="B82" s="35">
        <v>14</v>
      </c>
      <c r="C82" s="35">
        <v>14</v>
      </c>
      <c r="D82" s="37" t="b">
        <v>0</v>
      </c>
      <c r="E82" s="38">
        <v>6</v>
      </c>
      <c r="F82" s="38"/>
      <c r="G82" s="38"/>
      <c r="H82" s="38"/>
      <c r="I82" s="38"/>
      <c r="J82" s="38"/>
    </row>
    <row r="83" spans="1:10" ht="15.75" x14ac:dyDescent="0.25">
      <c r="A83" s="35"/>
      <c r="B83" s="35">
        <v>23</v>
      </c>
      <c r="C83" s="35">
        <v>23</v>
      </c>
      <c r="D83" s="37" t="b">
        <v>0</v>
      </c>
      <c r="E83" s="38">
        <v>6</v>
      </c>
      <c r="F83" s="38"/>
      <c r="G83" s="38"/>
      <c r="H83" s="38"/>
      <c r="I83" s="38"/>
      <c r="J83" s="38"/>
    </row>
    <row r="84" spans="1:10" ht="15.75" x14ac:dyDescent="0.25">
      <c r="A84" s="35"/>
      <c r="B84" s="35">
        <v>26</v>
      </c>
      <c r="C84" s="35">
        <v>26</v>
      </c>
      <c r="D84" s="37" t="b">
        <v>0</v>
      </c>
      <c r="E84" s="38">
        <v>6</v>
      </c>
      <c r="F84" s="38"/>
      <c r="G84" s="38"/>
      <c r="H84" s="38"/>
      <c r="I84" s="38"/>
      <c r="J84" s="38"/>
    </row>
    <row r="85" spans="1:10" ht="15.75" x14ac:dyDescent="0.25">
      <c r="A85" s="35"/>
      <c r="B85" s="35">
        <v>16</v>
      </c>
      <c r="C85" s="35">
        <v>16</v>
      </c>
      <c r="D85" s="37" t="b">
        <v>0</v>
      </c>
      <c r="E85" s="38">
        <v>7</v>
      </c>
      <c r="F85" s="38"/>
      <c r="G85" s="38"/>
      <c r="H85" s="38"/>
      <c r="I85" s="38"/>
      <c r="J85" s="38"/>
    </row>
    <row r="86" spans="1:10" ht="15.75" x14ac:dyDescent="0.25">
      <c r="A86" s="35"/>
      <c r="B86" s="35">
        <v>27</v>
      </c>
      <c r="C86" s="35">
        <v>27</v>
      </c>
      <c r="D86" s="37" t="b">
        <v>0</v>
      </c>
      <c r="E86" s="38">
        <v>7</v>
      </c>
      <c r="F86" s="38"/>
      <c r="G86" s="38"/>
      <c r="H86" s="38"/>
      <c r="I86" s="38"/>
      <c r="J86" s="38"/>
    </row>
    <row r="87" spans="1:10" ht="15.75" x14ac:dyDescent="0.25">
      <c r="A87" s="38"/>
      <c r="B87" s="38"/>
      <c r="C87" s="38"/>
      <c r="D87" s="38"/>
      <c r="E87" s="38"/>
      <c r="F87" s="38"/>
      <c r="G87" s="38"/>
      <c r="H87" s="38"/>
      <c r="I87" s="38"/>
      <c r="J87" s="38"/>
    </row>
    <row r="88" spans="1:10" ht="15.75" x14ac:dyDescent="0.25">
      <c r="A88" s="38"/>
      <c r="B88" s="38"/>
      <c r="C88" s="38"/>
      <c r="D88" s="38"/>
      <c r="E88" s="38"/>
      <c r="F88" s="38"/>
      <c r="G88" s="38"/>
      <c r="H88" s="38"/>
      <c r="I88" s="38"/>
      <c r="J88" s="38"/>
    </row>
    <row r="89" spans="1:10" ht="15.75" x14ac:dyDescent="0.25">
      <c r="A89" s="38"/>
      <c r="B89" s="38"/>
      <c r="C89" s="38"/>
      <c r="D89" s="38"/>
      <c r="E89" s="38"/>
      <c r="F89" s="38"/>
      <c r="G89" s="38"/>
      <c r="H89" s="38"/>
      <c r="I89" s="38"/>
      <c r="J89" s="38"/>
    </row>
    <row r="90" spans="1:10" ht="15.75" x14ac:dyDescent="0.25">
      <c r="A90" s="38"/>
      <c r="B90" s="38"/>
      <c r="C90" s="38"/>
      <c r="D90" s="38"/>
      <c r="E90" s="38"/>
      <c r="F90" s="38"/>
      <c r="G90" s="38"/>
      <c r="H90" s="38"/>
      <c r="I90" s="38"/>
      <c r="J90" s="38"/>
    </row>
    <row r="91" spans="1:10" ht="15.75" x14ac:dyDescent="0.25">
      <c r="A91" s="38"/>
      <c r="B91" s="38"/>
      <c r="C91" s="38"/>
      <c r="D91" s="38"/>
      <c r="E91" s="38"/>
      <c r="F91" s="38"/>
      <c r="G91" s="38"/>
      <c r="H91" s="38"/>
      <c r="I91" s="38"/>
      <c r="J91" s="38"/>
    </row>
    <row r="92" spans="1:10" ht="15.75" x14ac:dyDescent="0.25">
      <c r="A92" s="38"/>
      <c r="B92" s="38"/>
      <c r="C92" s="38"/>
      <c r="D92" s="38"/>
      <c r="E92" s="38"/>
      <c r="F92" s="38"/>
      <c r="G92" s="38"/>
      <c r="H92" s="38"/>
      <c r="I92" s="38"/>
      <c r="J92" s="38"/>
    </row>
    <row r="93" spans="1:10" ht="15.75" x14ac:dyDescent="0.25">
      <c r="A93" s="38"/>
      <c r="B93" s="38"/>
      <c r="C93" s="38"/>
      <c r="D93" s="38"/>
      <c r="E93" s="38"/>
      <c r="F93" s="38"/>
      <c r="G93" s="38"/>
      <c r="H93" s="38"/>
      <c r="I93" s="38"/>
      <c r="J93" s="38"/>
    </row>
    <row r="94" spans="1:10" ht="15.75" x14ac:dyDescent="0.25">
      <c r="A94" s="38"/>
      <c r="B94" s="38"/>
      <c r="C94" s="38"/>
      <c r="D94" s="38"/>
      <c r="E94" s="38"/>
      <c r="F94" s="38"/>
      <c r="G94" s="38"/>
      <c r="H94" s="38"/>
      <c r="I94" s="38"/>
      <c r="J94" s="38"/>
    </row>
    <row r="95" spans="1:10" ht="15.75" x14ac:dyDescent="0.25">
      <c r="A95" s="38"/>
      <c r="B95" s="38"/>
      <c r="C95" s="38"/>
      <c r="D95" s="38"/>
      <c r="E95" s="38"/>
      <c r="F95" s="38"/>
      <c r="G95" s="38"/>
      <c r="H95" s="38"/>
      <c r="I95" s="38"/>
      <c r="J95" s="38"/>
    </row>
    <row r="96" spans="1:10" ht="15.75" x14ac:dyDescent="0.25">
      <c r="A96" s="38"/>
      <c r="B96" s="38"/>
      <c r="C96" s="38"/>
      <c r="D96" s="38"/>
      <c r="E96" s="38"/>
      <c r="F96" s="38"/>
      <c r="G96" s="38"/>
      <c r="H96" s="38"/>
      <c r="I96" s="38"/>
      <c r="J96" s="38"/>
    </row>
    <row r="97" spans="1:10" ht="15.75" x14ac:dyDescent="0.25">
      <c r="A97" s="38"/>
      <c r="B97" s="38"/>
      <c r="C97" s="38"/>
      <c r="D97" s="38"/>
      <c r="E97" s="38"/>
      <c r="F97" s="38"/>
      <c r="G97" s="38"/>
      <c r="H97" s="38"/>
      <c r="I97" s="38"/>
      <c r="J97" s="38"/>
    </row>
    <row r="98" spans="1:10" ht="15.75" x14ac:dyDescent="0.25">
      <c r="A98" s="38"/>
      <c r="B98" s="38"/>
      <c r="C98" s="38"/>
      <c r="D98" s="38"/>
      <c r="E98" s="38"/>
      <c r="F98" s="38"/>
      <c r="G98" s="38"/>
      <c r="H98" s="38"/>
      <c r="I98" s="38"/>
      <c r="J98" s="38"/>
    </row>
    <row r="99" spans="1:10" ht="15.75" x14ac:dyDescent="0.25">
      <c r="A99" s="38"/>
      <c r="B99" s="38"/>
      <c r="C99" s="38"/>
      <c r="D99" s="38"/>
      <c r="E99" s="38"/>
      <c r="F99" s="38"/>
      <c r="G99" s="38"/>
      <c r="H99" s="38"/>
      <c r="I99" s="38"/>
      <c r="J99" s="38"/>
    </row>
    <row r="100" spans="1:10" ht="15.75" x14ac:dyDescent="0.25">
      <c r="A100" s="38"/>
      <c r="B100" s="38"/>
      <c r="C100" s="38"/>
      <c r="D100" s="38"/>
      <c r="E100" s="38"/>
      <c r="F100" s="38"/>
      <c r="G100" s="38"/>
      <c r="H100" s="38"/>
      <c r="I100" s="38"/>
      <c r="J100" s="38"/>
    </row>
    <row r="101" spans="1:10" ht="15.75" x14ac:dyDescent="0.25">
      <c r="A101" s="38"/>
      <c r="B101" s="38"/>
      <c r="C101" s="38"/>
      <c r="D101" s="38"/>
      <c r="E101" s="38"/>
      <c r="F101" s="38"/>
      <c r="G101" s="38"/>
      <c r="H101" s="38"/>
      <c r="I101" s="38"/>
      <c r="J101" s="38"/>
    </row>
    <row r="102" spans="1:10" ht="15.75" x14ac:dyDescent="0.25">
      <c r="A102" s="38"/>
      <c r="B102" s="38"/>
      <c r="C102" s="38"/>
      <c r="D102" s="38"/>
      <c r="E102" s="38"/>
      <c r="F102" s="38"/>
      <c r="G102" s="38"/>
      <c r="H102" s="38"/>
      <c r="I102" s="38"/>
      <c r="J102" s="38"/>
    </row>
    <row r="103" spans="1:10" ht="15.75" x14ac:dyDescent="0.25">
      <c r="A103" s="38"/>
      <c r="B103" s="38"/>
      <c r="C103" s="38"/>
      <c r="D103" s="38"/>
      <c r="E103" s="38"/>
      <c r="F103" s="38"/>
      <c r="G103" s="38"/>
      <c r="H103" s="38"/>
      <c r="I103" s="38"/>
      <c r="J103" s="38"/>
    </row>
    <row r="104" spans="1:10" ht="15.75" x14ac:dyDescent="0.25">
      <c r="A104" s="38"/>
      <c r="B104" s="38"/>
      <c r="C104" s="38"/>
      <c r="D104" s="38"/>
      <c r="E104" s="38"/>
      <c r="F104" s="38"/>
      <c r="G104" s="38"/>
      <c r="H104" s="38"/>
      <c r="I104" s="38"/>
      <c r="J104" s="38"/>
    </row>
    <row r="105" spans="1:10" ht="15.75" x14ac:dyDescent="0.25">
      <c r="A105" s="38"/>
      <c r="B105" s="38"/>
      <c r="C105" s="38"/>
      <c r="D105" s="38"/>
      <c r="E105" s="38"/>
      <c r="F105" s="38"/>
      <c r="G105" s="38"/>
      <c r="H105" s="38"/>
      <c r="I105" s="38"/>
      <c r="J105" s="38"/>
    </row>
    <row r="106" spans="1:10" ht="15.75" x14ac:dyDescent="0.25">
      <c r="A106" s="38"/>
      <c r="B106" s="38"/>
      <c r="C106" s="38"/>
      <c r="D106" s="38"/>
      <c r="E106" s="38"/>
      <c r="F106" s="38"/>
      <c r="G106" s="38"/>
      <c r="H106" s="38"/>
      <c r="I106" s="38"/>
      <c r="J106" s="38"/>
    </row>
    <row r="107" spans="1:10" ht="15.75" x14ac:dyDescent="0.25">
      <c r="A107" s="38"/>
      <c r="B107" s="38"/>
      <c r="C107" s="38"/>
      <c r="D107" s="38"/>
      <c r="E107" s="38"/>
      <c r="F107" s="38"/>
      <c r="G107" s="38"/>
      <c r="H107" s="38"/>
      <c r="I107" s="38"/>
      <c r="J107" s="38"/>
    </row>
    <row r="108" spans="1:10" ht="15.75" x14ac:dyDescent="0.25">
      <c r="A108" s="38"/>
      <c r="B108" s="38"/>
      <c r="C108" s="38"/>
      <c r="D108" s="38"/>
      <c r="E108" s="38"/>
      <c r="F108" s="38"/>
      <c r="G108" s="38"/>
      <c r="H108" s="38"/>
      <c r="I108" s="38"/>
      <c r="J108" s="38"/>
    </row>
    <row r="109" spans="1:10" ht="15.75" x14ac:dyDescent="0.25">
      <c r="A109" s="38"/>
      <c r="B109" s="38"/>
      <c r="C109" s="38"/>
      <c r="D109" s="38"/>
      <c r="E109" s="38"/>
      <c r="F109" s="38"/>
      <c r="G109" s="38"/>
      <c r="H109" s="38"/>
      <c r="I109" s="38"/>
      <c r="J109" s="38"/>
    </row>
    <row r="110" spans="1:10" ht="15.75" x14ac:dyDescent="0.25">
      <c r="A110" s="38"/>
      <c r="B110" s="38"/>
      <c r="C110" s="38"/>
      <c r="D110" s="38"/>
      <c r="E110" s="38"/>
      <c r="F110" s="38"/>
      <c r="G110" s="38"/>
      <c r="H110" s="38"/>
      <c r="I110" s="38"/>
      <c r="J110" s="38"/>
    </row>
    <row r="111" spans="1:10" ht="15.75" x14ac:dyDescent="0.25">
      <c r="A111" s="38"/>
      <c r="B111" s="38"/>
      <c r="C111" s="38"/>
      <c r="D111" s="38"/>
      <c r="E111" s="38"/>
      <c r="F111" s="38"/>
      <c r="G111" s="38"/>
      <c r="H111" s="38"/>
      <c r="I111" s="38"/>
      <c r="J111" s="38"/>
    </row>
    <row r="112" spans="1:10" ht="15.75" x14ac:dyDescent="0.25">
      <c r="A112" s="38"/>
      <c r="B112" s="38"/>
      <c r="C112" s="38"/>
      <c r="D112" s="38"/>
      <c r="E112" s="38"/>
      <c r="F112" s="38"/>
      <c r="G112" s="38"/>
      <c r="H112" s="38"/>
      <c r="I112" s="38"/>
      <c r="J112" s="38"/>
    </row>
    <row r="113" spans="1:10" ht="15.75" x14ac:dyDescent="0.25">
      <c r="A113" s="38"/>
      <c r="B113" s="38"/>
      <c r="C113" s="38"/>
      <c r="D113" s="38"/>
      <c r="E113" s="38"/>
      <c r="F113" s="38"/>
      <c r="G113" s="38"/>
      <c r="H113" s="38"/>
      <c r="I113" s="38"/>
      <c r="J113" s="38"/>
    </row>
    <row r="114" spans="1:10" ht="15.75" x14ac:dyDescent="0.25">
      <c r="A114" s="38"/>
      <c r="B114" s="38"/>
      <c r="C114" s="38"/>
      <c r="D114" s="38"/>
      <c r="E114" s="38"/>
      <c r="F114" s="38"/>
      <c r="G114" s="38"/>
      <c r="H114" s="38"/>
      <c r="I114" s="38"/>
      <c r="J114" s="38"/>
    </row>
    <row r="115" spans="1:10" ht="15.75" x14ac:dyDescent="0.25">
      <c r="A115" s="38"/>
      <c r="B115" s="38"/>
      <c r="C115" s="38"/>
      <c r="D115" s="38"/>
      <c r="E115" s="38"/>
      <c r="F115" s="38"/>
      <c r="G115" s="38"/>
      <c r="H115" s="38"/>
      <c r="I115" s="38"/>
      <c r="J115" s="38"/>
    </row>
    <row r="116" spans="1:10" ht="15.75" x14ac:dyDescent="0.25">
      <c r="A116" s="38"/>
      <c r="B116" s="38"/>
      <c r="C116" s="38"/>
      <c r="D116" s="38"/>
      <c r="E116" s="38"/>
      <c r="F116" s="38"/>
      <c r="G116" s="38"/>
      <c r="H116" s="38"/>
      <c r="I116" s="38"/>
      <c r="J116" s="38"/>
    </row>
    <row r="117" spans="1:10" ht="15.75" x14ac:dyDescent="0.25">
      <c r="A117" s="38"/>
      <c r="B117" s="38"/>
      <c r="C117" s="38"/>
      <c r="D117" s="38"/>
      <c r="E117" s="38"/>
      <c r="F117" s="38"/>
      <c r="G117" s="38"/>
      <c r="H117" s="38"/>
      <c r="I117" s="38"/>
      <c r="J117" s="38"/>
    </row>
    <row r="118" spans="1:10" ht="15.75" x14ac:dyDescent="0.25">
      <c r="A118" s="38"/>
      <c r="B118" s="38"/>
      <c r="C118" s="38"/>
      <c r="D118" s="38"/>
      <c r="E118" s="38"/>
      <c r="F118" s="38"/>
      <c r="G118" s="38"/>
      <c r="H118" s="38"/>
      <c r="I118" s="38"/>
      <c r="J118" s="38"/>
    </row>
    <row r="119" spans="1:10" ht="15.75" x14ac:dyDescent="0.25">
      <c r="A119" s="38"/>
      <c r="B119" s="38"/>
      <c r="C119" s="38"/>
      <c r="D119" s="38"/>
      <c r="E119" s="38"/>
      <c r="F119" s="38"/>
      <c r="G119" s="38"/>
      <c r="H119" s="38"/>
      <c r="I119" s="38"/>
      <c r="J119" s="38"/>
    </row>
    <row r="120" spans="1:10" ht="15.75" x14ac:dyDescent="0.25">
      <c r="A120" s="38"/>
      <c r="B120" s="38"/>
      <c r="C120" s="38"/>
      <c r="D120" s="38"/>
      <c r="E120" s="38"/>
      <c r="F120" s="38"/>
      <c r="G120" s="38"/>
      <c r="H120" s="38"/>
      <c r="I120" s="38"/>
      <c r="J120" s="38"/>
    </row>
    <row r="121" spans="1:10" ht="15.75" x14ac:dyDescent="0.25">
      <c r="A121" s="38"/>
      <c r="B121" s="38"/>
      <c r="C121" s="38"/>
      <c r="D121" s="38"/>
      <c r="E121" s="38"/>
      <c r="F121" s="38"/>
      <c r="G121" s="38"/>
      <c r="H121" s="38"/>
      <c r="I121" s="38"/>
      <c r="J121" s="38"/>
    </row>
    <row r="122" spans="1:10" ht="15.75" x14ac:dyDescent="0.25">
      <c r="A122" s="38"/>
      <c r="B122" s="38"/>
      <c r="C122" s="38"/>
      <c r="D122" s="38"/>
      <c r="E122" s="38"/>
      <c r="F122" s="38"/>
      <c r="G122" s="38"/>
      <c r="H122" s="38"/>
      <c r="I122" s="38"/>
      <c r="J122" s="38"/>
    </row>
    <row r="123" spans="1:10" ht="15.75" x14ac:dyDescent="0.25">
      <c r="A123" s="38"/>
      <c r="B123" s="38"/>
      <c r="C123" s="38"/>
      <c r="D123" s="38"/>
      <c r="E123" s="38"/>
      <c r="F123" s="38"/>
      <c r="G123" s="38"/>
      <c r="H123" s="38"/>
      <c r="I123" s="38"/>
      <c r="J123" s="38"/>
    </row>
    <row r="124" spans="1:10" ht="15.75" x14ac:dyDescent="0.25">
      <c r="A124" s="38"/>
      <c r="B124" s="38"/>
      <c r="C124" s="38"/>
      <c r="D124" s="38"/>
      <c r="E124" s="38"/>
      <c r="F124" s="38"/>
      <c r="G124" s="38"/>
      <c r="H124" s="38"/>
      <c r="I124" s="38"/>
      <c r="J124" s="38"/>
    </row>
    <row r="125" spans="1:10" ht="15.75" x14ac:dyDescent="0.25">
      <c r="A125" s="38"/>
      <c r="B125" s="38"/>
      <c r="C125" s="38"/>
      <c r="D125" s="38"/>
      <c r="E125" s="38"/>
      <c r="F125" s="38"/>
      <c r="G125" s="38"/>
      <c r="H125" s="38"/>
      <c r="I125" s="38"/>
      <c r="J125" s="38"/>
    </row>
    <row r="126" spans="1:10" ht="15.75" x14ac:dyDescent="0.25">
      <c r="A126" s="38"/>
      <c r="B126" s="38"/>
      <c r="C126" s="38"/>
      <c r="D126" s="38"/>
      <c r="E126" s="38"/>
      <c r="F126" s="38"/>
      <c r="G126" s="38"/>
      <c r="H126" s="38"/>
      <c r="I126" s="38"/>
      <c r="J126" s="38"/>
    </row>
    <row r="127" spans="1:10" ht="15.75" x14ac:dyDescent="0.25">
      <c r="A127" s="38"/>
      <c r="B127" s="38"/>
      <c r="C127" s="38"/>
      <c r="D127" s="38"/>
      <c r="E127" s="38"/>
      <c r="F127" s="38"/>
      <c r="G127" s="38"/>
      <c r="H127" s="38"/>
      <c r="I127" s="38"/>
      <c r="J127" s="38"/>
    </row>
    <row r="128" spans="1:10" ht="15.75" x14ac:dyDescent="0.25">
      <c r="A128" s="38"/>
      <c r="B128" s="38"/>
      <c r="C128" s="38"/>
      <c r="D128" s="38"/>
      <c r="E128" s="38"/>
      <c r="F128" s="38"/>
      <c r="G128" s="38"/>
      <c r="H128" s="38"/>
      <c r="I128" s="38"/>
      <c r="J128" s="38"/>
    </row>
    <row r="129" spans="1:10" ht="15.75" x14ac:dyDescent="0.25">
      <c r="A129" s="38"/>
      <c r="B129" s="38"/>
      <c r="C129" s="38"/>
      <c r="D129" s="38"/>
      <c r="E129" s="38"/>
      <c r="F129" s="38"/>
      <c r="G129" s="38"/>
      <c r="H129" s="38"/>
      <c r="I129" s="38"/>
      <c r="J129" s="38"/>
    </row>
    <row r="130" spans="1:10" ht="15.75" x14ac:dyDescent="0.25">
      <c r="A130" s="38"/>
      <c r="B130" s="38"/>
      <c r="C130" s="38"/>
      <c r="D130" s="38"/>
      <c r="E130" s="38"/>
      <c r="F130" s="38"/>
      <c r="G130" s="38"/>
      <c r="H130" s="38"/>
      <c r="I130" s="38"/>
      <c r="J130" s="38"/>
    </row>
    <row r="131" spans="1:10" ht="15.75" x14ac:dyDescent="0.25">
      <c r="A131" s="38"/>
      <c r="B131" s="38"/>
      <c r="C131" s="38"/>
      <c r="D131" s="38"/>
      <c r="E131" s="38"/>
      <c r="F131" s="38"/>
      <c r="G131" s="38"/>
      <c r="H131" s="38"/>
      <c r="I131" s="38"/>
      <c r="J131" s="38"/>
    </row>
    <row r="132" spans="1:10" ht="15.75" x14ac:dyDescent="0.25">
      <c r="A132" s="38"/>
      <c r="B132" s="38"/>
      <c r="C132" s="38"/>
      <c r="D132" s="38"/>
      <c r="E132" s="38"/>
      <c r="F132" s="38"/>
      <c r="G132" s="38"/>
      <c r="H132" s="38"/>
      <c r="I132" s="38"/>
      <c r="J132" s="38"/>
    </row>
    <row r="133" spans="1:10" ht="15.75" x14ac:dyDescent="0.25">
      <c r="A133" s="38"/>
      <c r="B133" s="38"/>
      <c r="C133" s="38"/>
      <c r="D133" s="38"/>
      <c r="E133" s="38"/>
      <c r="F133" s="38"/>
      <c r="G133" s="38"/>
      <c r="H133" s="38"/>
      <c r="I133" s="38"/>
      <c r="J133" s="38"/>
    </row>
  </sheetData>
  <phoneticPr fontId="4" type="noConversion"/>
  <pageMargins left="0.7" right="0.7" top="0.75" bottom="0.75" header="0.3" footer="0.3"/>
  <pageSetup paperSize="9" scale="86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7996F-BCDD-48AE-BCC6-87EC8FFCB6D3}">
  <sheetPr codeName="Sheet10">
    <pageSetUpPr fitToPage="1"/>
  </sheetPr>
  <dimension ref="A1:K50"/>
  <sheetViews>
    <sheetView zoomScaleNormal="100" workbookViewId="0">
      <selection activeCell="K51" sqref="K51"/>
    </sheetView>
  </sheetViews>
  <sheetFormatPr defaultRowHeight="15" x14ac:dyDescent="0.25"/>
  <cols>
    <col min="1" max="1" width="14.5703125" customWidth="1"/>
    <col min="3" max="4" width="0" hidden="1" customWidth="1"/>
    <col min="7" max="7" width="16.28515625" customWidth="1"/>
    <col min="9" max="10" width="0" hidden="1" customWidth="1"/>
  </cols>
  <sheetData>
    <row r="1" spans="1:11" ht="15.75" thickBot="1" x14ac:dyDescent="0.3">
      <c r="A1" s="30" t="s">
        <v>0</v>
      </c>
      <c r="B1" s="30" t="s">
        <v>1</v>
      </c>
      <c r="C1" s="30" t="s">
        <v>101</v>
      </c>
      <c r="D1" s="31" t="s">
        <v>97</v>
      </c>
      <c r="E1" s="15" t="s">
        <v>98</v>
      </c>
      <c r="F1" s="19" t="s">
        <v>105</v>
      </c>
      <c r="G1" s="22" t="s">
        <v>102</v>
      </c>
      <c r="H1" s="23" t="s">
        <v>103</v>
      </c>
      <c r="I1" s="23" t="s">
        <v>99</v>
      </c>
      <c r="J1" s="23" t="s">
        <v>100</v>
      </c>
      <c r="K1" s="24" t="s">
        <v>104</v>
      </c>
    </row>
    <row r="2" spans="1:11" ht="15.75" thickBot="1" x14ac:dyDescent="0.3">
      <c r="A2" s="18" t="s">
        <v>55</v>
      </c>
      <c r="B2" s="18">
        <v>31</v>
      </c>
      <c r="C2" s="18"/>
      <c r="D2" s="21" t="b">
        <v>0</v>
      </c>
      <c r="E2" s="32">
        <v>5</v>
      </c>
      <c r="F2" s="20"/>
      <c r="G2" s="25" t="s">
        <v>62</v>
      </c>
      <c r="H2" s="16">
        <v>17</v>
      </c>
      <c r="I2" s="16">
        <v>17</v>
      </c>
      <c r="J2" s="17" t="b">
        <v>0</v>
      </c>
      <c r="K2" s="26">
        <v>2</v>
      </c>
    </row>
    <row r="3" spans="1:11" ht="15.75" thickBot="1" x14ac:dyDescent="0.3">
      <c r="A3" s="18" t="s">
        <v>42</v>
      </c>
      <c r="B3" s="18">
        <v>32</v>
      </c>
      <c r="C3" s="18"/>
      <c r="D3" s="21" t="b">
        <v>0</v>
      </c>
      <c r="E3" s="26">
        <v>6</v>
      </c>
      <c r="F3" s="20"/>
      <c r="G3" s="25" t="s">
        <v>32</v>
      </c>
      <c r="H3" s="16">
        <v>21</v>
      </c>
      <c r="I3" s="16">
        <v>21</v>
      </c>
      <c r="J3" s="17" t="b">
        <v>0</v>
      </c>
      <c r="K3" s="26">
        <v>2</v>
      </c>
    </row>
    <row r="4" spans="1:11" ht="30.75" thickBot="1" x14ac:dyDescent="0.3">
      <c r="A4" s="18" t="s">
        <v>74</v>
      </c>
      <c r="B4" s="18">
        <v>24</v>
      </c>
      <c r="C4" s="18"/>
      <c r="D4" s="21" t="b">
        <v>0</v>
      </c>
      <c r="E4" s="26">
        <v>6</v>
      </c>
      <c r="F4" s="20"/>
      <c r="G4" s="25" t="s">
        <v>84</v>
      </c>
      <c r="H4" s="16">
        <v>19</v>
      </c>
      <c r="I4" s="16">
        <v>19</v>
      </c>
      <c r="J4" s="17" t="b">
        <v>0</v>
      </c>
      <c r="K4" s="26">
        <v>5</v>
      </c>
    </row>
    <row r="5" spans="1:11" ht="15.75" thickBot="1" x14ac:dyDescent="0.3">
      <c r="A5" s="18" t="s">
        <v>69</v>
      </c>
      <c r="B5" s="18">
        <v>24</v>
      </c>
      <c r="C5" s="18"/>
      <c r="D5" s="21" t="b">
        <v>0</v>
      </c>
      <c r="E5" s="26">
        <v>5</v>
      </c>
      <c r="F5" s="20"/>
      <c r="G5" s="25" t="s">
        <v>24</v>
      </c>
      <c r="H5" s="16">
        <v>5</v>
      </c>
      <c r="I5" s="16">
        <v>5</v>
      </c>
      <c r="J5" s="17" t="b">
        <v>0</v>
      </c>
      <c r="K5" s="26">
        <v>2</v>
      </c>
    </row>
    <row r="6" spans="1:11" ht="15.75" thickBot="1" x14ac:dyDescent="0.3">
      <c r="A6" s="18" t="s">
        <v>40</v>
      </c>
      <c r="B6" s="18">
        <v>30</v>
      </c>
      <c r="C6" s="18"/>
      <c r="D6" s="21" t="b">
        <v>0</v>
      </c>
      <c r="E6" s="26">
        <v>4</v>
      </c>
      <c r="F6" s="20"/>
      <c r="G6" s="25" t="s">
        <v>11</v>
      </c>
      <c r="H6" s="16">
        <v>15</v>
      </c>
      <c r="I6" s="16">
        <v>15</v>
      </c>
      <c r="J6" s="17" t="b">
        <v>0</v>
      </c>
      <c r="K6" s="26">
        <v>1</v>
      </c>
    </row>
    <row r="7" spans="1:11" ht="15.75" thickBot="1" x14ac:dyDescent="0.3">
      <c r="A7" s="18" t="s">
        <v>33</v>
      </c>
      <c r="B7" s="18">
        <v>25</v>
      </c>
      <c r="C7" s="18"/>
      <c r="D7" s="21" t="b">
        <v>0</v>
      </c>
      <c r="E7" s="26">
        <v>2</v>
      </c>
      <c r="F7" s="20"/>
      <c r="G7" s="25" t="s">
        <v>57</v>
      </c>
      <c r="H7" s="16">
        <v>30</v>
      </c>
      <c r="I7" s="16">
        <v>30</v>
      </c>
      <c r="J7" s="17" t="b">
        <v>0</v>
      </c>
      <c r="K7" s="26">
        <v>2</v>
      </c>
    </row>
    <row r="8" spans="1:11" ht="15.75" thickBot="1" x14ac:dyDescent="0.3">
      <c r="A8" s="18" t="s">
        <v>19</v>
      </c>
      <c r="B8" s="18">
        <v>1</v>
      </c>
      <c r="C8" s="18"/>
      <c r="D8" s="21" t="b">
        <v>0</v>
      </c>
      <c r="E8" s="26">
        <v>7</v>
      </c>
      <c r="F8" s="20"/>
      <c r="G8" s="25" t="s">
        <v>17</v>
      </c>
      <c r="H8" s="16">
        <v>22</v>
      </c>
      <c r="I8" s="16">
        <v>22</v>
      </c>
      <c r="J8" s="17" t="b">
        <v>0</v>
      </c>
      <c r="K8" s="26">
        <v>1</v>
      </c>
    </row>
    <row r="9" spans="1:11" ht="15.75" thickBot="1" x14ac:dyDescent="0.3">
      <c r="A9" s="18" t="s">
        <v>44</v>
      </c>
      <c r="B9" s="18">
        <v>27</v>
      </c>
      <c r="C9" s="18"/>
      <c r="D9" s="21" t="b">
        <v>0</v>
      </c>
      <c r="E9" s="26">
        <v>5</v>
      </c>
      <c r="F9" s="20"/>
      <c r="G9" s="25" t="s">
        <v>43</v>
      </c>
      <c r="H9" s="16">
        <v>3</v>
      </c>
      <c r="I9" s="16">
        <v>5</v>
      </c>
      <c r="J9" s="17" t="b">
        <v>0</v>
      </c>
      <c r="K9" s="26">
        <v>6</v>
      </c>
    </row>
    <row r="10" spans="1:11" ht="15.75" thickBot="1" x14ac:dyDescent="0.3">
      <c r="A10" s="18" t="s">
        <v>75</v>
      </c>
      <c r="B10" s="18">
        <v>22</v>
      </c>
      <c r="C10" s="18"/>
      <c r="D10" s="21" t="b">
        <v>0</v>
      </c>
      <c r="E10" s="26">
        <v>6</v>
      </c>
      <c r="F10" s="20"/>
      <c r="G10" s="25" t="s">
        <v>85</v>
      </c>
      <c r="H10" s="16">
        <v>10</v>
      </c>
      <c r="I10" s="16">
        <v>10</v>
      </c>
      <c r="J10" s="17" t="b">
        <v>0</v>
      </c>
      <c r="K10" s="26">
        <v>7</v>
      </c>
    </row>
    <row r="11" spans="1:11" ht="15.75" thickBot="1" x14ac:dyDescent="0.3">
      <c r="A11" s="18" t="s">
        <v>77</v>
      </c>
      <c r="B11" s="18">
        <v>12</v>
      </c>
      <c r="C11" s="18"/>
      <c r="D11" s="21" t="b">
        <v>0</v>
      </c>
      <c r="E11" s="26">
        <v>5</v>
      </c>
      <c r="F11" s="20"/>
      <c r="G11" s="25" t="s">
        <v>18</v>
      </c>
      <c r="H11" s="16">
        <v>23</v>
      </c>
      <c r="I11" s="16">
        <v>23</v>
      </c>
      <c r="J11" s="17" t="b">
        <v>0</v>
      </c>
      <c r="K11" s="26">
        <v>1</v>
      </c>
    </row>
    <row r="12" spans="1:11" ht="15.75" thickBot="1" x14ac:dyDescent="0.3">
      <c r="A12" s="18" t="s">
        <v>7</v>
      </c>
      <c r="B12" s="18">
        <v>6</v>
      </c>
      <c r="C12" s="18"/>
      <c r="D12" s="21" t="b">
        <v>0</v>
      </c>
      <c r="E12" s="26">
        <v>1</v>
      </c>
      <c r="F12" s="20"/>
      <c r="G12" s="25" t="s">
        <v>6</v>
      </c>
      <c r="H12" s="16">
        <v>32</v>
      </c>
      <c r="I12" s="16">
        <v>32</v>
      </c>
      <c r="J12" s="17" t="b">
        <v>0</v>
      </c>
      <c r="K12" s="26">
        <v>7</v>
      </c>
    </row>
    <row r="13" spans="1:11" ht="15.75" thickBot="1" x14ac:dyDescent="0.3">
      <c r="A13" s="18" t="s">
        <v>15</v>
      </c>
      <c r="B13" s="18">
        <v>20</v>
      </c>
      <c r="C13" s="18"/>
      <c r="D13" s="21" t="b">
        <v>0</v>
      </c>
      <c r="E13" s="26">
        <v>1</v>
      </c>
      <c r="F13" s="20"/>
      <c r="G13" s="25" t="s">
        <v>39</v>
      </c>
      <c r="H13" s="16">
        <v>29</v>
      </c>
      <c r="I13" s="16">
        <v>29</v>
      </c>
      <c r="J13" s="17" t="b">
        <v>0</v>
      </c>
      <c r="K13" s="26">
        <v>4</v>
      </c>
    </row>
    <row r="14" spans="1:11" ht="15.75" thickBot="1" x14ac:dyDescent="0.3">
      <c r="A14" s="18" t="s">
        <v>21</v>
      </c>
      <c r="B14" s="18">
        <v>9</v>
      </c>
      <c r="C14" s="18"/>
      <c r="D14" s="21" t="b">
        <v>0</v>
      </c>
      <c r="E14" s="26">
        <v>6</v>
      </c>
      <c r="F14" s="20"/>
      <c r="G14" s="25" t="s">
        <v>81</v>
      </c>
      <c r="H14" s="16">
        <v>16</v>
      </c>
      <c r="I14" s="16">
        <v>16</v>
      </c>
      <c r="J14" s="17" t="b">
        <v>0</v>
      </c>
      <c r="K14" s="26">
        <v>5</v>
      </c>
    </row>
    <row r="15" spans="1:11" ht="15.75" thickBot="1" x14ac:dyDescent="0.3">
      <c r="A15" s="18" t="s">
        <v>48</v>
      </c>
      <c r="B15" s="18">
        <v>25</v>
      </c>
      <c r="C15" s="18"/>
      <c r="D15" s="21" t="b">
        <v>0</v>
      </c>
      <c r="E15" s="26">
        <v>6</v>
      </c>
      <c r="F15" s="20"/>
      <c r="G15" s="25" t="s">
        <v>30</v>
      </c>
      <c r="H15" s="16">
        <v>19</v>
      </c>
      <c r="I15" s="16">
        <v>19</v>
      </c>
      <c r="J15" s="17" t="b">
        <v>0</v>
      </c>
      <c r="K15" s="26">
        <v>2</v>
      </c>
    </row>
    <row r="16" spans="1:11" ht="30.75" thickBot="1" x14ac:dyDescent="0.3">
      <c r="A16" s="18" t="s">
        <v>27</v>
      </c>
      <c r="B16" s="18">
        <v>14</v>
      </c>
      <c r="C16" s="18"/>
      <c r="D16" s="21" t="b">
        <v>0</v>
      </c>
      <c r="E16" s="26">
        <v>2</v>
      </c>
      <c r="F16" s="20"/>
      <c r="G16" s="25" t="s">
        <v>70</v>
      </c>
      <c r="H16" s="16">
        <v>25</v>
      </c>
      <c r="I16" s="16">
        <v>25</v>
      </c>
      <c r="J16" s="17" t="b">
        <v>0</v>
      </c>
      <c r="K16" s="26">
        <v>5</v>
      </c>
    </row>
    <row r="17" spans="1:11" ht="15.75" thickBot="1" x14ac:dyDescent="0.3">
      <c r="A17" s="18" t="s">
        <v>14</v>
      </c>
      <c r="B17" s="18">
        <v>19</v>
      </c>
      <c r="C17" s="18"/>
      <c r="D17" s="21" t="b">
        <v>0</v>
      </c>
      <c r="E17" s="26">
        <v>1</v>
      </c>
      <c r="F17" s="20"/>
      <c r="G17" s="25" t="s">
        <v>47</v>
      </c>
      <c r="H17" s="16">
        <v>1</v>
      </c>
      <c r="I17" s="16">
        <v>1</v>
      </c>
      <c r="J17" s="17" t="b">
        <v>0</v>
      </c>
      <c r="K17" s="26">
        <v>3</v>
      </c>
    </row>
    <row r="18" spans="1:11" ht="15.75" thickBot="1" x14ac:dyDescent="0.3">
      <c r="A18" s="18" t="s">
        <v>31</v>
      </c>
      <c r="B18" s="18">
        <v>20</v>
      </c>
      <c r="C18" s="18"/>
      <c r="D18" s="21" t="b">
        <v>0</v>
      </c>
      <c r="E18" s="26">
        <v>2</v>
      </c>
      <c r="F18" s="20"/>
      <c r="G18" s="25" t="s">
        <v>95</v>
      </c>
      <c r="H18" s="16">
        <v>19</v>
      </c>
      <c r="I18" s="16">
        <v>19</v>
      </c>
      <c r="J18" s="17" t="b">
        <v>0</v>
      </c>
      <c r="K18" s="26">
        <v>7</v>
      </c>
    </row>
    <row r="19" spans="1:11" ht="15.75" thickBot="1" x14ac:dyDescent="0.3">
      <c r="A19" s="18" t="s">
        <v>8</v>
      </c>
      <c r="B19" s="18">
        <v>7</v>
      </c>
      <c r="C19" s="18"/>
      <c r="D19" s="21" t="b">
        <v>0</v>
      </c>
      <c r="E19" s="26">
        <v>1</v>
      </c>
      <c r="F19" s="20"/>
      <c r="G19" s="25" t="s">
        <v>12</v>
      </c>
      <c r="H19" s="16">
        <v>16</v>
      </c>
      <c r="I19" s="16">
        <v>17</v>
      </c>
      <c r="J19" s="17" t="b">
        <v>0</v>
      </c>
      <c r="K19" s="26">
        <v>1</v>
      </c>
    </row>
    <row r="20" spans="1:11" ht="15.75" thickBot="1" x14ac:dyDescent="0.3">
      <c r="A20" s="18" t="s">
        <v>34</v>
      </c>
      <c r="B20" s="18">
        <v>20</v>
      </c>
      <c r="C20" s="18"/>
      <c r="D20" s="21" t="b">
        <v>0</v>
      </c>
      <c r="E20" s="26">
        <v>7</v>
      </c>
      <c r="F20" s="20"/>
      <c r="G20" s="25" t="s">
        <v>64</v>
      </c>
      <c r="H20" s="16">
        <v>29</v>
      </c>
      <c r="I20" s="16">
        <v>30</v>
      </c>
      <c r="J20" s="17" t="b">
        <v>0</v>
      </c>
      <c r="K20" s="26">
        <v>5</v>
      </c>
    </row>
    <row r="21" spans="1:11" ht="15.75" thickBot="1" x14ac:dyDescent="0.3">
      <c r="A21" s="18" t="s">
        <v>5</v>
      </c>
      <c r="B21" s="18">
        <v>3</v>
      </c>
      <c r="C21" s="18"/>
      <c r="D21" s="21" t="b">
        <v>0</v>
      </c>
      <c r="E21" s="26">
        <v>1</v>
      </c>
      <c r="F21" s="20"/>
      <c r="G21" s="25" t="s">
        <v>59</v>
      </c>
      <c r="H21" s="16">
        <v>9</v>
      </c>
      <c r="I21" s="16">
        <v>9</v>
      </c>
      <c r="J21" s="17" t="b">
        <v>0</v>
      </c>
      <c r="K21" s="26">
        <v>2</v>
      </c>
    </row>
    <row r="22" spans="1:11" ht="15.75" thickBot="1" x14ac:dyDescent="0.3">
      <c r="A22" s="18" t="s">
        <v>76</v>
      </c>
      <c r="B22" s="18">
        <v>11</v>
      </c>
      <c r="C22" s="18"/>
      <c r="D22" s="21" t="b">
        <v>0</v>
      </c>
      <c r="E22" s="26">
        <v>5</v>
      </c>
      <c r="F22" s="20"/>
      <c r="G22" s="25" t="s">
        <v>3</v>
      </c>
      <c r="H22" s="16">
        <v>27</v>
      </c>
      <c r="I22" s="16">
        <v>28</v>
      </c>
      <c r="J22" s="17" t="b">
        <v>0</v>
      </c>
      <c r="K22" s="26">
        <v>6</v>
      </c>
    </row>
    <row r="23" spans="1:11" ht="15.75" thickBot="1" x14ac:dyDescent="0.3">
      <c r="A23" s="18" t="s">
        <v>92</v>
      </c>
      <c r="B23" s="18">
        <v>21</v>
      </c>
      <c r="C23" s="18"/>
      <c r="D23" s="21" t="b">
        <v>0</v>
      </c>
      <c r="E23" s="26">
        <v>7</v>
      </c>
      <c r="F23" s="20"/>
      <c r="G23" s="25" t="s">
        <v>63</v>
      </c>
      <c r="H23" s="16">
        <v>18</v>
      </c>
      <c r="I23" s="16">
        <v>18</v>
      </c>
      <c r="J23" s="17" t="b">
        <v>0</v>
      </c>
      <c r="K23" s="26">
        <v>6</v>
      </c>
    </row>
    <row r="24" spans="1:11" ht="15.75" thickBot="1" x14ac:dyDescent="0.3">
      <c r="A24" s="18" t="s">
        <v>38</v>
      </c>
      <c r="B24" s="18">
        <v>10</v>
      </c>
      <c r="C24" s="18"/>
      <c r="D24" s="21" t="b">
        <v>0</v>
      </c>
      <c r="E24" s="26">
        <v>6</v>
      </c>
      <c r="F24" s="20"/>
      <c r="G24" s="25" t="s">
        <v>73</v>
      </c>
      <c r="H24" s="16">
        <v>29</v>
      </c>
      <c r="I24" s="16">
        <v>31</v>
      </c>
      <c r="J24" s="17" t="b">
        <v>0</v>
      </c>
      <c r="K24" s="26">
        <v>7</v>
      </c>
    </row>
    <row r="25" spans="1:11" ht="15.75" thickBot="1" x14ac:dyDescent="0.3">
      <c r="A25" s="18" t="s">
        <v>88</v>
      </c>
      <c r="B25" s="18">
        <v>19</v>
      </c>
      <c r="C25" s="18"/>
      <c r="D25" s="21" t="b">
        <v>0</v>
      </c>
      <c r="E25" s="26">
        <v>6</v>
      </c>
      <c r="F25" s="20"/>
      <c r="G25" s="25" t="s">
        <v>56</v>
      </c>
      <c r="H25" s="16">
        <v>32</v>
      </c>
      <c r="I25" s="16"/>
      <c r="J25" s="17" t="b">
        <v>0</v>
      </c>
      <c r="K25" s="26">
        <v>3</v>
      </c>
    </row>
    <row r="26" spans="1:11" ht="15.75" thickBot="1" x14ac:dyDescent="0.3">
      <c r="A26" s="18" t="s">
        <v>87</v>
      </c>
      <c r="B26" s="18">
        <v>18</v>
      </c>
      <c r="C26" s="18"/>
      <c r="D26" s="21" t="b">
        <v>0</v>
      </c>
      <c r="E26" s="26">
        <v>7</v>
      </c>
      <c r="F26" s="20"/>
      <c r="G26" s="25" t="s">
        <v>13</v>
      </c>
      <c r="H26" s="16">
        <v>18</v>
      </c>
      <c r="I26" s="16">
        <v>18</v>
      </c>
      <c r="J26" s="17" t="b">
        <v>0</v>
      </c>
      <c r="K26" s="26">
        <v>1</v>
      </c>
    </row>
    <row r="27" spans="1:11" ht="15.75" thickBot="1" x14ac:dyDescent="0.3">
      <c r="A27" s="18" t="s">
        <v>96</v>
      </c>
      <c r="B27" s="18">
        <v>26</v>
      </c>
      <c r="C27" s="18"/>
      <c r="D27" s="21" t="b">
        <v>0</v>
      </c>
      <c r="E27" s="26">
        <v>7</v>
      </c>
      <c r="F27" s="20"/>
      <c r="G27" s="25" t="s">
        <v>94</v>
      </c>
      <c r="H27" s="16">
        <v>17</v>
      </c>
      <c r="I27" s="16">
        <v>17</v>
      </c>
      <c r="J27" s="17" t="b">
        <v>0</v>
      </c>
      <c r="K27" s="26">
        <v>7</v>
      </c>
    </row>
    <row r="28" spans="1:11" ht="15.75" thickBot="1" x14ac:dyDescent="0.3">
      <c r="A28" s="18" t="s">
        <v>72</v>
      </c>
      <c r="B28" s="18">
        <v>28</v>
      </c>
      <c r="C28" s="18"/>
      <c r="D28" s="21" t="b">
        <v>0</v>
      </c>
      <c r="E28" s="26">
        <v>5</v>
      </c>
      <c r="F28" s="20"/>
      <c r="G28" s="25" t="s">
        <v>10</v>
      </c>
      <c r="H28" s="16">
        <v>10</v>
      </c>
      <c r="I28" s="16">
        <v>14</v>
      </c>
      <c r="J28" s="17" t="b">
        <v>0</v>
      </c>
      <c r="K28" s="26">
        <v>1</v>
      </c>
    </row>
    <row r="29" spans="1:11" ht="15.75" thickBot="1" x14ac:dyDescent="0.3">
      <c r="A29" s="18" t="s">
        <v>89</v>
      </c>
      <c r="B29" s="18">
        <v>23</v>
      </c>
      <c r="C29" s="18"/>
      <c r="D29" s="21" t="b">
        <v>0</v>
      </c>
      <c r="E29" s="26">
        <v>7</v>
      </c>
      <c r="F29" s="20"/>
      <c r="G29" s="25" t="s">
        <v>23</v>
      </c>
      <c r="H29" s="16">
        <v>1</v>
      </c>
      <c r="I29" s="16">
        <v>4</v>
      </c>
      <c r="J29" s="17" t="b">
        <v>0</v>
      </c>
      <c r="K29" s="26">
        <v>2</v>
      </c>
    </row>
    <row r="30" spans="1:11" ht="15.75" thickBot="1" x14ac:dyDescent="0.3">
      <c r="A30" s="18" t="s">
        <v>83</v>
      </c>
      <c r="B30" s="18">
        <v>18</v>
      </c>
      <c r="C30" s="18"/>
      <c r="D30" s="21" t="b">
        <v>0</v>
      </c>
      <c r="E30" s="26">
        <v>5</v>
      </c>
      <c r="F30" s="20"/>
      <c r="G30" s="25" t="s">
        <v>23</v>
      </c>
      <c r="H30" s="16">
        <v>6</v>
      </c>
      <c r="I30" s="16">
        <v>7</v>
      </c>
      <c r="J30" s="17" t="b">
        <v>0</v>
      </c>
      <c r="K30" s="26">
        <v>6</v>
      </c>
    </row>
    <row r="31" spans="1:11" ht="15.75" thickBot="1" x14ac:dyDescent="0.3">
      <c r="A31" s="18" t="s">
        <v>60</v>
      </c>
      <c r="B31" s="18">
        <v>10</v>
      </c>
      <c r="C31" s="18"/>
      <c r="D31" s="21" t="b">
        <v>0</v>
      </c>
      <c r="E31" s="26">
        <v>2</v>
      </c>
      <c r="F31" s="20"/>
      <c r="G31" s="25" t="s">
        <v>41</v>
      </c>
      <c r="H31" s="16">
        <v>31</v>
      </c>
      <c r="I31" s="16">
        <v>31</v>
      </c>
      <c r="J31" s="17" t="b">
        <v>0</v>
      </c>
      <c r="K31" s="26">
        <v>4</v>
      </c>
    </row>
    <row r="32" spans="1:11" ht="15.75" thickBot="1" x14ac:dyDescent="0.3">
      <c r="A32" s="18" t="s">
        <v>9</v>
      </c>
      <c r="B32" s="18">
        <v>8</v>
      </c>
      <c r="C32" s="18"/>
      <c r="D32" s="21" t="b">
        <v>0</v>
      </c>
      <c r="E32" s="26">
        <v>1</v>
      </c>
      <c r="F32" s="20"/>
      <c r="G32" s="25" t="s">
        <v>53</v>
      </c>
      <c r="H32" s="16">
        <v>3</v>
      </c>
      <c r="I32" s="16">
        <v>6</v>
      </c>
      <c r="J32" s="17" t="b">
        <v>0</v>
      </c>
      <c r="K32" s="26">
        <v>7</v>
      </c>
    </row>
    <row r="33" spans="1:11" ht="15.75" thickBot="1" x14ac:dyDescent="0.3">
      <c r="A33" s="18" t="s">
        <v>54</v>
      </c>
      <c r="B33" s="18">
        <v>9</v>
      </c>
      <c r="C33" s="18"/>
      <c r="D33" s="21" t="b">
        <v>0</v>
      </c>
      <c r="E33" s="26">
        <v>7</v>
      </c>
      <c r="F33" s="20"/>
      <c r="G33" s="25" t="s">
        <v>65</v>
      </c>
      <c r="H33" s="16">
        <v>32</v>
      </c>
      <c r="I33" s="16">
        <v>32</v>
      </c>
      <c r="J33" s="17" t="b">
        <v>0</v>
      </c>
      <c r="K33" s="26">
        <v>5</v>
      </c>
    </row>
    <row r="34" spans="1:11" ht="15.75" thickBot="1" x14ac:dyDescent="0.3">
      <c r="A34" s="18" t="s">
        <v>66</v>
      </c>
      <c r="B34" s="18">
        <v>21</v>
      </c>
      <c r="C34" s="18"/>
      <c r="D34" s="21" t="b">
        <v>0</v>
      </c>
      <c r="E34" s="26">
        <v>5</v>
      </c>
      <c r="F34" s="20"/>
      <c r="G34" s="25" t="s">
        <v>58</v>
      </c>
      <c r="H34" s="16">
        <v>6</v>
      </c>
      <c r="I34" s="16">
        <v>7</v>
      </c>
      <c r="J34" s="17" t="b">
        <v>0</v>
      </c>
      <c r="K34" s="26">
        <v>2</v>
      </c>
    </row>
    <row r="35" spans="1:11" ht="15.75" thickBot="1" x14ac:dyDescent="0.3">
      <c r="A35" s="18" t="s">
        <v>49</v>
      </c>
      <c r="B35" s="18">
        <v>7</v>
      </c>
      <c r="C35" s="18"/>
      <c r="D35" s="21" t="b">
        <v>0</v>
      </c>
      <c r="E35" s="26">
        <v>7</v>
      </c>
      <c r="F35" s="20"/>
      <c r="G35" s="25" t="s">
        <v>78</v>
      </c>
      <c r="H35" s="16">
        <v>13</v>
      </c>
      <c r="I35" s="16">
        <v>13</v>
      </c>
      <c r="J35" s="17" t="b">
        <v>0</v>
      </c>
      <c r="K35" s="26">
        <v>5</v>
      </c>
    </row>
    <row r="36" spans="1:11" ht="15.75" thickBot="1" x14ac:dyDescent="0.3">
      <c r="A36" s="18" t="s">
        <v>90</v>
      </c>
      <c r="B36" s="18">
        <v>24</v>
      </c>
      <c r="C36" s="18"/>
      <c r="D36" s="21" t="b">
        <v>0</v>
      </c>
      <c r="E36" s="26">
        <v>7</v>
      </c>
      <c r="F36" s="20"/>
      <c r="G36" s="25" t="s">
        <v>61</v>
      </c>
      <c r="H36" s="16">
        <v>16</v>
      </c>
      <c r="I36" s="16">
        <v>16</v>
      </c>
      <c r="J36" s="17" t="b">
        <v>0</v>
      </c>
      <c r="K36" s="26">
        <v>2</v>
      </c>
    </row>
    <row r="37" spans="1:11" ht="15.75" thickBot="1" x14ac:dyDescent="0.3">
      <c r="A37" s="18" t="s">
        <v>50</v>
      </c>
      <c r="B37" s="18">
        <v>7</v>
      </c>
      <c r="C37" s="18"/>
      <c r="D37" s="21" t="b">
        <v>0</v>
      </c>
      <c r="E37" s="26">
        <v>3</v>
      </c>
      <c r="F37" s="20"/>
      <c r="G37" s="25" t="s">
        <v>86</v>
      </c>
      <c r="H37" s="16">
        <v>11</v>
      </c>
      <c r="I37" s="16">
        <v>11</v>
      </c>
      <c r="J37" s="17" t="b">
        <v>0</v>
      </c>
      <c r="K37" s="26">
        <v>6</v>
      </c>
    </row>
    <row r="38" spans="1:11" ht="15.75" thickBot="1" x14ac:dyDescent="0.3">
      <c r="A38" s="18" t="s">
        <v>91</v>
      </c>
      <c r="B38" s="18">
        <v>25</v>
      </c>
      <c r="C38" s="18"/>
      <c r="D38" s="21" t="b">
        <v>0</v>
      </c>
      <c r="E38" s="26">
        <v>7</v>
      </c>
      <c r="F38" s="20"/>
      <c r="G38" s="25" t="s">
        <v>82</v>
      </c>
      <c r="H38" s="16">
        <v>20</v>
      </c>
      <c r="I38" s="16">
        <v>20</v>
      </c>
      <c r="J38" s="17" t="b">
        <v>0</v>
      </c>
      <c r="K38" s="26">
        <v>6</v>
      </c>
    </row>
    <row r="39" spans="1:11" ht="15.75" thickBot="1" x14ac:dyDescent="0.3">
      <c r="A39" s="18" t="s">
        <v>28</v>
      </c>
      <c r="B39" s="18">
        <v>15</v>
      </c>
      <c r="C39" s="18"/>
      <c r="D39" s="21" t="b">
        <v>0</v>
      </c>
      <c r="E39" s="26">
        <v>2</v>
      </c>
      <c r="F39" s="20"/>
      <c r="G39" s="25" t="s">
        <v>93</v>
      </c>
      <c r="H39" s="16">
        <v>13</v>
      </c>
      <c r="I39" s="16">
        <v>14</v>
      </c>
      <c r="J39" s="17" t="b">
        <v>0</v>
      </c>
      <c r="K39" s="26">
        <v>7</v>
      </c>
    </row>
    <row r="40" spans="1:11" ht="15.75" thickBot="1" x14ac:dyDescent="0.3">
      <c r="A40" s="18" t="s">
        <v>71</v>
      </c>
      <c r="B40" s="18">
        <v>26</v>
      </c>
      <c r="C40" s="18"/>
      <c r="D40" s="21" t="b">
        <v>0</v>
      </c>
      <c r="E40" s="26">
        <v>5</v>
      </c>
      <c r="F40" s="20"/>
      <c r="G40" s="25"/>
      <c r="H40" s="16"/>
      <c r="I40" s="16"/>
      <c r="J40" s="17" t="b">
        <v>0</v>
      </c>
      <c r="K40" s="26"/>
    </row>
    <row r="41" spans="1:11" ht="15.75" thickBot="1" x14ac:dyDescent="0.3">
      <c r="A41" s="18" t="s">
        <v>37</v>
      </c>
      <c r="B41" s="18">
        <v>32</v>
      </c>
      <c r="C41" s="18"/>
      <c r="D41" s="21" t="b">
        <v>0</v>
      </c>
      <c r="E41" s="26">
        <v>2</v>
      </c>
      <c r="F41" s="20"/>
      <c r="G41" s="25"/>
      <c r="H41" s="16"/>
      <c r="I41" s="16"/>
      <c r="J41" s="17" t="b">
        <v>0</v>
      </c>
      <c r="K41" s="26"/>
    </row>
    <row r="42" spans="1:11" ht="15.75" thickBot="1" x14ac:dyDescent="0.3">
      <c r="A42" s="18" t="s">
        <v>79</v>
      </c>
      <c r="B42" s="18">
        <v>14</v>
      </c>
      <c r="C42" s="18"/>
      <c r="D42" s="21" t="b">
        <v>0</v>
      </c>
      <c r="E42" s="26">
        <v>5</v>
      </c>
      <c r="F42" s="20"/>
      <c r="G42" s="25"/>
      <c r="H42" s="16"/>
      <c r="I42" s="16"/>
      <c r="J42" s="17" t="b">
        <v>0</v>
      </c>
      <c r="K42" s="26"/>
    </row>
    <row r="43" spans="1:11" ht="15.75" thickBot="1" x14ac:dyDescent="0.3">
      <c r="A43" s="18" t="s">
        <v>67</v>
      </c>
      <c r="B43" s="18">
        <v>22</v>
      </c>
      <c r="C43" s="18"/>
      <c r="D43" s="21" t="b">
        <v>0</v>
      </c>
      <c r="E43" s="26">
        <v>5</v>
      </c>
      <c r="F43" s="20"/>
      <c r="G43" s="25"/>
      <c r="H43" s="16"/>
      <c r="I43" s="16"/>
      <c r="J43" s="17" t="b">
        <v>0</v>
      </c>
      <c r="K43" s="26"/>
    </row>
    <row r="44" spans="1:11" ht="15.75" thickBot="1" x14ac:dyDescent="0.3">
      <c r="A44" s="18" t="s">
        <v>45</v>
      </c>
      <c r="B44" s="18">
        <v>7</v>
      </c>
      <c r="C44" s="18"/>
      <c r="D44" s="21" t="b">
        <v>0</v>
      </c>
      <c r="E44" s="26">
        <v>4</v>
      </c>
      <c r="F44" s="20"/>
      <c r="G44" s="25"/>
      <c r="H44" s="16"/>
      <c r="I44" s="16"/>
      <c r="J44" s="17" t="b">
        <v>0</v>
      </c>
      <c r="K44" s="26"/>
    </row>
    <row r="45" spans="1:11" ht="15.75" thickBot="1" x14ac:dyDescent="0.3">
      <c r="A45" s="18" t="s">
        <v>80</v>
      </c>
      <c r="B45" s="18">
        <v>15</v>
      </c>
      <c r="C45" s="18"/>
      <c r="D45" s="21" t="b">
        <v>0</v>
      </c>
      <c r="E45" s="26">
        <v>5</v>
      </c>
      <c r="F45" s="20"/>
      <c r="G45" s="25"/>
      <c r="H45" s="16"/>
      <c r="I45" s="16"/>
      <c r="J45" s="17" t="b">
        <v>0</v>
      </c>
      <c r="K45" s="26"/>
    </row>
    <row r="46" spans="1:11" ht="15.75" thickBot="1" x14ac:dyDescent="0.3">
      <c r="A46" s="18" t="s">
        <v>20</v>
      </c>
      <c r="B46" s="18">
        <v>31</v>
      </c>
      <c r="C46" s="18"/>
      <c r="D46" s="21" t="b">
        <v>0</v>
      </c>
      <c r="E46" s="26">
        <v>1</v>
      </c>
      <c r="F46" s="20"/>
      <c r="G46" s="25"/>
      <c r="H46" s="16"/>
      <c r="I46" s="16"/>
      <c r="J46" s="17" t="b">
        <v>0</v>
      </c>
      <c r="K46" s="26"/>
    </row>
    <row r="47" spans="1:11" ht="15.75" thickBot="1" x14ac:dyDescent="0.3">
      <c r="A47" s="18" t="s">
        <v>68</v>
      </c>
      <c r="B47" s="18">
        <v>23</v>
      </c>
      <c r="C47" s="18"/>
      <c r="D47" s="21" t="b">
        <v>0</v>
      </c>
      <c r="E47" s="26">
        <v>5</v>
      </c>
      <c r="F47" s="20"/>
      <c r="G47" s="25"/>
      <c r="H47" s="16"/>
      <c r="I47" s="16"/>
      <c r="J47" s="17" t="b">
        <v>0</v>
      </c>
      <c r="K47" s="26"/>
    </row>
    <row r="48" spans="1:11" ht="15.75" thickBot="1" x14ac:dyDescent="0.3">
      <c r="A48" s="18" t="s">
        <v>46</v>
      </c>
      <c r="B48" s="18">
        <v>8</v>
      </c>
      <c r="C48" s="18"/>
      <c r="D48" s="21" t="b">
        <v>0</v>
      </c>
      <c r="E48" s="26">
        <v>6</v>
      </c>
      <c r="F48" s="20"/>
      <c r="G48" s="25"/>
      <c r="H48" s="16"/>
      <c r="I48" s="16"/>
      <c r="J48" s="17" t="b">
        <v>0</v>
      </c>
      <c r="K48" s="26"/>
    </row>
    <row r="49" spans="1:11" ht="15.75" thickBot="1" x14ac:dyDescent="0.3">
      <c r="A49" s="18" t="s">
        <v>16</v>
      </c>
      <c r="B49" s="18">
        <v>21</v>
      </c>
      <c r="C49" s="18"/>
      <c r="D49" s="21" t="b">
        <v>0</v>
      </c>
      <c r="E49" s="26">
        <v>1</v>
      </c>
      <c r="F49" s="20"/>
      <c r="G49" s="25"/>
      <c r="H49" s="16"/>
      <c r="I49" s="16"/>
      <c r="J49" s="17" t="b">
        <v>0</v>
      </c>
      <c r="K49" s="26"/>
    </row>
    <row r="50" spans="1:11" ht="15.75" thickBot="1" x14ac:dyDescent="0.3">
      <c r="A50" s="18" t="s">
        <v>36</v>
      </c>
      <c r="B50" s="18">
        <v>21</v>
      </c>
      <c r="C50" s="18"/>
      <c r="D50" s="21" t="b">
        <v>0</v>
      </c>
      <c r="E50" s="29">
        <v>6</v>
      </c>
      <c r="F50" s="20"/>
      <c r="G50" s="27"/>
      <c r="H50" s="28"/>
      <c r="I50" s="28"/>
      <c r="J50" s="28"/>
      <c r="K50" s="29"/>
    </row>
  </sheetData>
  <phoneticPr fontId="4" type="noConversion"/>
  <pageMargins left="0.7" right="0.7" top="0.75" bottom="0.75" header="0.3" footer="0.3"/>
  <pageSetup paperSize="9" scale="92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03C89-585A-48FB-91B6-58A099111292}">
  <sheetPr codeName="Sheet11"/>
  <dimension ref="A1:A3"/>
  <sheetViews>
    <sheetView workbookViewId="0">
      <selection activeCell="C4" sqref="C4"/>
    </sheetView>
  </sheetViews>
  <sheetFormatPr defaultRowHeight="26.25" x14ac:dyDescent="0.25"/>
  <cols>
    <col min="1" max="16384" width="9.140625" style="41"/>
  </cols>
  <sheetData>
    <row r="1" spans="1:1" x14ac:dyDescent="0.25">
      <c r="A1" s="40" t="s">
        <v>4</v>
      </c>
    </row>
    <row r="2" spans="1:1" x14ac:dyDescent="0.25">
      <c r="A2" s="41" t="s">
        <v>120</v>
      </c>
    </row>
    <row r="3" spans="1:1" x14ac:dyDescent="0.25">
      <c r="A3" s="41" t="s">
        <v>121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E814C-0BC5-460D-B97C-64991E934CD7}">
  <sheetPr codeName="Sheet13"/>
  <dimension ref="A1:E20"/>
  <sheetViews>
    <sheetView zoomScaleNormal="100" workbookViewId="0">
      <selection activeCell="A2" sqref="A2"/>
    </sheetView>
  </sheetViews>
  <sheetFormatPr defaultRowHeight="15" x14ac:dyDescent="0.25"/>
  <cols>
    <col min="1" max="5" width="17.42578125" style="5" customWidth="1"/>
  </cols>
  <sheetData>
    <row r="1" spans="1:5" ht="18.75" x14ac:dyDescent="0.25">
      <c r="A1" s="47" t="s">
        <v>122</v>
      </c>
      <c r="B1" s="48" t="s">
        <v>1</v>
      </c>
      <c r="C1" s="48" t="s">
        <v>22</v>
      </c>
      <c r="D1" s="48" t="s">
        <v>4</v>
      </c>
      <c r="E1" s="49" t="s">
        <v>123</v>
      </c>
    </row>
    <row r="2" spans="1:5" x14ac:dyDescent="0.25">
      <c r="A2" s="5" t="str" cm="1">
        <f t="array" ref="A2:E20">_xlfn._xlws.SORT(_xlfn._xlws.FILTER(Data!A:E, Data!E:E=1), {2,3}, {1,1})</f>
        <v>Spain</v>
      </c>
      <c r="B2" s="5">
        <v>1</v>
      </c>
      <c r="C2" s="5">
        <v>2</v>
      </c>
      <c r="D2" s="5" t="str">
        <v>Yes</v>
      </c>
      <c r="E2" s="5">
        <v>1</v>
      </c>
    </row>
    <row r="3" spans="1:5" x14ac:dyDescent="0.25">
      <c r="A3" s="5" t="str">
        <v>Ecuador</v>
      </c>
      <c r="B3" s="5">
        <v>3</v>
      </c>
      <c r="C3" s="5">
        <v>3</v>
      </c>
      <c r="D3" s="5" t="str">
        <v>No</v>
      </c>
      <c r="E3" s="5">
        <v>1</v>
      </c>
    </row>
    <row r="4" spans="1:5" x14ac:dyDescent="0.25">
      <c r="A4" s="5" t="str">
        <v>Romania</v>
      </c>
      <c r="B4" s="5">
        <v>4</v>
      </c>
      <c r="C4" s="5">
        <v>5</v>
      </c>
      <c r="D4" s="5" t="str">
        <v>Yes</v>
      </c>
      <c r="E4" s="5">
        <v>1</v>
      </c>
    </row>
    <row r="5" spans="1:5" x14ac:dyDescent="0.25">
      <c r="A5" s="5" t="str">
        <v xml:space="preserve">Canada </v>
      </c>
      <c r="B5" s="5">
        <v>6</v>
      </c>
      <c r="C5" s="5">
        <v>6</v>
      </c>
      <c r="D5" s="5" t="str">
        <v>No</v>
      </c>
      <c r="E5" s="5">
        <v>1</v>
      </c>
    </row>
    <row r="6" spans="1:5" x14ac:dyDescent="0.25">
      <c r="A6" s="5" t="str">
        <v xml:space="preserve">Czechoslovakia </v>
      </c>
      <c r="B6" s="5">
        <v>7</v>
      </c>
      <c r="C6" s="5">
        <v>7</v>
      </c>
      <c r="D6" s="5" t="str">
        <v>Yes</v>
      </c>
      <c r="E6" s="5">
        <v>1</v>
      </c>
    </row>
    <row r="7" spans="1:5" x14ac:dyDescent="0.25">
      <c r="A7" s="5" t="str">
        <v xml:space="preserve">India </v>
      </c>
      <c r="B7" s="5">
        <v>8</v>
      </c>
      <c r="C7" s="5">
        <v>9</v>
      </c>
      <c r="D7" s="5" t="str">
        <v>No</v>
      </c>
      <c r="E7" s="5">
        <v>1</v>
      </c>
    </row>
    <row r="8" spans="1:5" x14ac:dyDescent="0.25">
      <c r="A8" s="5" t="str">
        <v xml:space="preserve">Turkey </v>
      </c>
      <c r="B8" s="5">
        <v>10</v>
      </c>
      <c r="C8" s="5">
        <v>14</v>
      </c>
      <c r="D8" s="5" t="str">
        <v>No</v>
      </c>
      <c r="E8" s="5">
        <v>1</v>
      </c>
    </row>
    <row r="9" spans="1:5" x14ac:dyDescent="0.25">
      <c r="A9" s="5" t="str">
        <v>Panama</v>
      </c>
      <c r="B9" s="5">
        <v>15</v>
      </c>
      <c r="C9" s="5">
        <v>15</v>
      </c>
      <c r="D9" s="5" t="str">
        <v>No</v>
      </c>
      <c r="E9" s="5">
        <v>1</v>
      </c>
    </row>
    <row r="10" spans="1:5" x14ac:dyDescent="0.25">
      <c r="A10" s="5" t="str">
        <v xml:space="preserve">South Africa </v>
      </c>
      <c r="B10" s="5">
        <v>16</v>
      </c>
      <c r="C10" s="5">
        <v>17</v>
      </c>
      <c r="D10" s="5" t="str">
        <v>Yes</v>
      </c>
      <c r="E10" s="5">
        <v>1</v>
      </c>
    </row>
    <row r="11" spans="1:5" x14ac:dyDescent="0.25">
      <c r="A11" s="5" t="str">
        <v>Thailand</v>
      </c>
      <c r="B11" s="5">
        <v>18</v>
      </c>
      <c r="C11" s="5">
        <v>18</v>
      </c>
      <c r="D11" s="5" t="str">
        <v>No</v>
      </c>
      <c r="E11" s="5">
        <v>1</v>
      </c>
    </row>
    <row r="12" spans="1:5" x14ac:dyDescent="0.25">
      <c r="A12" s="5" t="str">
        <v>Congo</v>
      </c>
      <c r="B12" s="5">
        <v>19</v>
      </c>
      <c r="C12" s="5">
        <v>19</v>
      </c>
      <c r="D12" s="5" t="str">
        <v>No</v>
      </c>
      <c r="E12" s="5">
        <v>1</v>
      </c>
    </row>
    <row r="13" spans="1:5" x14ac:dyDescent="0.25">
      <c r="A13" s="5" t="str">
        <v>Ceylon</v>
      </c>
      <c r="B13" s="5">
        <v>20</v>
      </c>
      <c r="C13" s="5">
        <v>20</v>
      </c>
      <c r="D13" s="5" t="str">
        <v>No</v>
      </c>
      <c r="E13" s="5">
        <v>1</v>
      </c>
    </row>
    <row r="14" spans="1:5" x14ac:dyDescent="0.25">
      <c r="A14" s="5" t="str">
        <v>Mozambique</v>
      </c>
      <c r="B14" s="5">
        <v>21</v>
      </c>
      <c r="C14" s="5">
        <v>21</v>
      </c>
      <c r="D14" s="5" t="str">
        <v>No</v>
      </c>
      <c r="E14" s="5">
        <v>1</v>
      </c>
    </row>
    <row r="15" spans="1:5" x14ac:dyDescent="0.25">
      <c r="A15" s="5" t="str">
        <v xml:space="preserve">Philippines </v>
      </c>
      <c r="B15" s="5">
        <v>22</v>
      </c>
      <c r="C15" s="5">
        <v>22</v>
      </c>
      <c r="D15" s="5" t="str">
        <v>No</v>
      </c>
      <c r="E15" s="5">
        <v>1</v>
      </c>
    </row>
    <row r="16" spans="1:5" x14ac:dyDescent="0.25">
      <c r="A16" s="5" t="str">
        <v>Rhodesia</v>
      </c>
      <c r="B16" s="5">
        <v>23</v>
      </c>
      <c r="C16" s="5">
        <v>23</v>
      </c>
      <c r="D16" s="5" t="str">
        <v>No</v>
      </c>
      <c r="E16" s="5">
        <v>1</v>
      </c>
    </row>
    <row r="17" spans="1:5" x14ac:dyDescent="0.25">
      <c r="A17" s="5" t="str">
        <v>Belgium</v>
      </c>
      <c r="B17" s="5">
        <v>24</v>
      </c>
      <c r="C17" s="5">
        <v>30</v>
      </c>
      <c r="D17" s="5" t="str">
        <v>Yes</v>
      </c>
      <c r="E17" s="5">
        <v>1</v>
      </c>
    </row>
    <row r="18" spans="1:5" x14ac:dyDescent="0.25">
      <c r="A18" s="5" t="str">
        <v>Bangladesh</v>
      </c>
      <c r="B18" s="5">
        <v>30</v>
      </c>
      <c r="C18" s="5">
        <v>44</v>
      </c>
      <c r="D18" s="5" t="str">
        <v>Yes</v>
      </c>
      <c r="E18" s="5">
        <v>1</v>
      </c>
    </row>
    <row r="19" spans="1:5" x14ac:dyDescent="0.25">
      <c r="A19" s="5" t="str">
        <v>Mexico</v>
      </c>
      <c r="B19" s="5">
        <v>31</v>
      </c>
      <c r="C19" s="5">
        <v>31</v>
      </c>
      <c r="D19" s="5" t="str">
        <v>No</v>
      </c>
      <c r="E19" s="5">
        <v>1</v>
      </c>
    </row>
    <row r="20" spans="1:5" x14ac:dyDescent="0.25">
      <c r="A20" s="5" t="str">
        <v>Chile</v>
      </c>
      <c r="B20" s="5">
        <v>32</v>
      </c>
      <c r="C20" s="5">
        <v>32</v>
      </c>
      <c r="D20" s="5" t="str">
        <v>No</v>
      </c>
      <c r="E20" s="5">
        <v>1</v>
      </c>
    </row>
  </sheetData>
  <autoFilter ref="A1:E1" xr:uid="{270E814C-0BC5-460D-B97C-64991E934CD7}"/>
  <pageMargins left="0.7" right="0.7" top="0.75" bottom="0.75" header="0.3" footer="0.3"/>
  <pageSetup paperSize="9" scale="51" fitToWidth="0" orientation="portrait" cellComments="atEnd" r:id="rId1"/>
  <colBreaks count="1" manualBreakCount="1">
    <brk id="6" max="1048575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E3915-F6C6-4E87-A15E-249BDC79EFEF}">
  <sheetPr codeName="Sheet14"/>
  <dimension ref="A1:E23"/>
  <sheetViews>
    <sheetView zoomScaleNormal="100" workbookViewId="0">
      <selection activeCell="C2" sqref="C2:C19"/>
    </sheetView>
  </sheetViews>
  <sheetFormatPr defaultRowHeight="15" x14ac:dyDescent="0.25"/>
  <cols>
    <col min="1" max="5" width="17.42578125" style="5" customWidth="1"/>
  </cols>
  <sheetData>
    <row r="1" spans="1:5" ht="18.75" x14ac:dyDescent="0.25">
      <c r="A1" s="47" t="s">
        <v>122</v>
      </c>
      <c r="B1" s="48" t="s">
        <v>1</v>
      </c>
      <c r="C1" s="48" t="s">
        <v>22</v>
      </c>
      <c r="D1" s="48" t="s">
        <v>4</v>
      </c>
      <c r="E1" s="49" t="s">
        <v>123</v>
      </c>
    </row>
    <row r="2" spans="1:5" x14ac:dyDescent="0.25">
      <c r="A2" s="5" t="str" cm="1">
        <f t="array" ref="A2:E23">_xlfn._xlws.SORT(_xlfn._xlws.FILTER(Data!A:E, Data!E:E=2), {2,3}, {1,1})</f>
        <v>U.S.A</v>
      </c>
      <c r="B2" s="5">
        <v>1</v>
      </c>
      <c r="C2" s="5">
        <v>4</v>
      </c>
      <c r="D2" s="5" t="str">
        <v>Yes</v>
      </c>
      <c r="E2" s="5">
        <v>2</v>
      </c>
    </row>
    <row r="3" spans="1:5" x14ac:dyDescent="0.25">
      <c r="A3" s="5" t="str">
        <v>Norway</v>
      </c>
      <c r="B3" s="5">
        <v>5</v>
      </c>
      <c r="C3" s="5">
        <v>5</v>
      </c>
      <c r="D3" s="5" t="str">
        <v>No</v>
      </c>
      <c r="E3" s="5">
        <v>2</v>
      </c>
    </row>
    <row r="4" spans="1:5" x14ac:dyDescent="0.25">
      <c r="A4" s="5" t="str">
        <v>Uruguay</v>
      </c>
      <c r="B4" s="5">
        <v>6</v>
      </c>
      <c r="C4" s="5">
        <v>7</v>
      </c>
      <c r="D4" s="5" t="str">
        <v>No</v>
      </c>
      <c r="E4" s="5">
        <v>2</v>
      </c>
    </row>
    <row r="5" spans="1:5" x14ac:dyDescent="0.25">
      <c r="A5" s="5" t="str">
        <v>Greek</v>
      </c>
      <c r="B5" s="5">
        <v>8</v>
      </c>
      <c r="C5" s="5">
        <v>8</v>
      </c>
      <c r="D5" s="5" t="str">
        <v>Yes</v>
      </c>
      <c r="E5" s="5">
        <v>2</v>
      </c>
    </row>
    <row r="6" spans="1:5" x14ac:dyDescent="0.25">
      <c r="A6" s="5" t="str">
        <v>Soviet union</v>
      </c>
      <c r="B6" s="5">
        <v>9</v>
      </c>
      <c r="C6" s="5">
        <v>9</v>
      </c>
      <c r="D6" s="5" t="str">
        <v>No</v>
      </c>
      <c r="E6" s="5">
        <v>2</v>
      </c>
    </row>
    <row r="7" spans="1:5" x14ac:dyDescent="0.25">
      <c r="A7" s="5" t="str">
        <v>Hong Kong</v>
      </c>
      <c r="B7" s="5">
        <v>10</v>
      </c>
      <c r="C7" s="5">
        <v>10</v>
      </c>
      <c r="D7" s="5" t="str">
        <v>No</v>
      </c>
      <c r="E7" s="5">
        <v>2</v>
      </c>
    </row>
    <row r="8" spans="1:5" x14ac:dyDescent="0.25">
      <c r="A8" s="5" t="str">
        <v>Canada</v>
      </c>
      <c r="B8" s="5">
        <v>11</v>
      </c>
      <c r="C8" s="5">
        <v>13</v>
      </c>
      <c r="D8" s="5" t="str">
        <v>Yes</v>
      </c>
      <c r="E8" s="5">
        <v>2</v>
      </c>
    </row>
    <row r="9" spans="1:5" x14ac:dyDescent="0.25">
      <c r="A9" s="5" t="str">
        <v>Colombia</v>
      </c>
      <c r="B9" s="5">
        <v>14</v>
      </c>
      <c r="C9" s="5">
        <v>14</v>
      </c>
      <c r="D9" s="5" t="str">
        <v>No</v>
      </c>
      <c r="E9" s="5">
        <v>2</v>
      </c>
    </row>
    <row r="10" spans="1:5" x14ac:dyDescent="0.25">
      <c r="A10" s="5" t="str">
        <v>Korea</v>
      </c>
      <c r="B10" s="5">
        <v>15</v>
      </c>
      <c r="C10" s="5">
        <v>15</v>
      </c>
      <c r="D10" s="5" t="str">
        <v>No</v>
      </c>
      <c r="E10" s="5">
        <v>2</v>
      </c>
    </row>
    <row r="11" spans="1:5" x14ac:dyDescent="0.25">
      <c r="A11" s="5" t="str">
        <v>Venezuela</v>
      </c>
      <c r="B11" s="5">
        <v>16</v>
      </c>
      <c r="C11" s="5">
        <v>16</v>
      </c>
      <c r="D11" s="5" t="str">
        <v>No</v>
      </c>
      <c r="E11" s="5">
        <v>2</v>
      </c>
    </row>
    <row r="12" spans="1:5" x14ac:dyDescent="0.25">
      <c r="A12" s="5" t="str">
        <v>New Zealand</v>
      </c>
      <c r="B12" s="5">
        <v>17</v>
      </c>
      <c r="C12" s="5">
        <v>17</v>
      </c>
      <c r="D12" s="5" t="str">
        <v>No</v>
      </c>
      <c r="E12" s="5">
        <v>2</v>
      </c>
    </row>
    <row r="13" spans="1:5" x14ac:dyDescent="0.25">
      <c r="A13" s="5" t="str">
        <v>Finland</v>
      </c>
      <c r="B13" s="5">
        <v>18</v>
      </c>
      <c r="C13" s="5">
        <v>18</v>
      </c>
      <c r="D13" s="5" t="str">
        <v>Yes</v>
      </c>
      <c r="E13" s="5">
        <v>2</v>
      </c>
    </row>
    <row r="14" spans="1:5" x14ac:dyDescent="0.25">
      <c r="A14" s="5" t="str">
        <v>Senegal</v>
      </c>
      <c r="B14" s="5">
        <v>19</v>
      </c>
      <c r="C14" s="5">
        <v>19</v>
      </c>
      <c r="D14" s="5" t="str">
        <v>No</v>
      </c>
      <c r="E14" s="5">
        <v>2</v>
      </c>
    </row>
    <row r="15" spans="1:5" x14ac:dyDescent="0.25">
      <c r="A15" s="5" t="str">
        <v>Cuba</v>
      </c>
      <c r="B15" s="5">
        <v>20</v>
      </c>
      <c r="C15" s="5">
        <v>20</v>
      </c>
      <c r="D15" s="5" t="str">
        <v>No</v>
      </c>
      <c r="E15" s="5">
        <v>2</v>
      </c>
    </row>
    <row r="16" spans="1:5" x14ac:dyDescent="0.25">
      <c r="A16" s="5" t="str">
        <v>Nigeria</v>
      </c>
      <c r="B16" s="5">
        <v>21</v>
      </c>
      <c r="C16" s="5">
        <v>21</v>
      </c>
      <c r="D16" s="5" t="str">
        <v>No</v>
      </c>
      <c r="E16" s="5">
        <v>2</v>
      </c>
    </row>
    <row r="17" spans="1:5" x14ac:dyDescent="0.25">
      <c r="A17" s="5" t="str">
        <v>Sweden</v>
      </c>
      <c r="B17" s="5">
        <v>22</v>
      </c>
      <c r="C17" s="5">
        <v>24</v>
      </c>
      <c r="D17" s="5" t="str">
        <v>Yes</v>
      </c>
      <c r="E17" s="5">
        <v>2</v>
      </c>
    </row>
    <row r="18" spans="1:5" x14ac:dyDescent="0.25">
      <c r="A18" s="5" t="str">
        <v>Belgian</v>
      </c>
      <c r="B18" s="5">
        <v>25</v>
      </c>
      <c r="C18" s="5">
        <v>25</v>
      </c>
      <c r="D18" s="5" t="str">
        <v>No</v>
      </c>
      <c r="E18" s="5">
        <v>2</v>
      </c>
    </row>
    <row r="19" spans="1:5" x14ac:dyDescent="0.25">
      <c r="A19" s="5" t="str">
        <v>Denmark</v>
      </c>
      <c r="B19" s="5">
        <v>26</v>
      </c>
      <c r="C19" s="5">
        <v>28</v>
      </c>
      <c r="D19" s="5" t="str">
        <v>Yes</v>
      </c>
      <c r="E19" s="5">
        <v>2</v>
      </c>
    </row>
    <row r="20" spans="1:5" x14ac:dyDescent="0.25">
      <c r="A20" s="5" t="str">
        <v xml:space="preserve">Australia </v>
      </c>
      <c r="B20" s="5">
        <v>29</v>
      </c>
      <c r="C20" s="5">
        <v>29</v>
      </c>
      <c r="D20" s="5" t="str">
        <v>Yes</v>
      </c>
      <c r="E20" s="5">
        <v>2</v>
      </c>
    </row>
    <row r="21" spans="1:5" x14ac:dyDescent="0.25">
      <c r="A21" s="5" t="str">
        <v>Paraguay</v>
      </c>
      <c r="B21" s="5">
        <v>30</v>
      </c>
      <c r="C21" s="5">
        <v>30</v>
      </c>
      <c r="D21" s="5" t="str">
        <v>No</v>
      </c>
      <c r="E21" s="5">
        <v>2</v>
      </c>
    </row>
    <row r="22" spans="1:5" x14ac:dyDescent="0.25">
      <c r="A22" s="5" t="str">
        <v>Nederland</v>
      </c>
      <c r="B22" s="5">
        <v>31</v>
      </c>
      <c r="C22" s="5">
        <v>31</v>
      </c>
      <c r="D22" s="5" t="str">
        <v>Yes</v>
      </c>
      <c r="E22" s="5">
        <v>2</v>
      </c>
    </row>
    <row r="23" spans="1:5" x14ac:dyDescent="0.25">
      <c r="A23" s="5" t="str">
        <v>Liberia</v>
      </c>
      <c r="B23" s="5">
        <v>32</v>
      </c>
      <c r="C23" s="5">
        <v>32</v>
      </c>
      <c r="D23" s="5" t="str">
        <v>No</v>
      </c>
      <c r="E23" s="5">
        <v>2</v>
      </c>
    </row>
  </sheetData>
  <pageMargins left="0.7" right="0.7" top="0.75" bottom="0.75" header="0.3" footer="0.3"/>
  <pageSetup paperSize="9" scale="51" orientation="portrait" cellComments="atEnd" r:id="rId1"/>
  <colBreaks count="1" manualBreakCount="1">
    <brk id="6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042FD-5FD5-4AE5-BD1F-09C673B5DF90}">
  <sheetPr codeName="Sheet15"/>
  <dimension ref="A1:E11"/>
  <sheetViews>
    <sheetView zoomScaleNormal="100" workbookViewId="0">
      <selection activeCell="C2" sqref="C2:C11"/>
    </sheetView>
  </sheetViews>
  <sheetFormatPr defaultRowHeight="15" x14ac:dyDescent="0.25"/>
  <cols>
    <col min="1" max="5" width="17.42578125" style="5" customWidth="1"/>
  </cols>
  <sheetData>
    <row r="1" spans="1:5" ht="18.75" x14ac:dyDescent="0.25">
      <c r="A1" s="47" t="s">
        <v>122</v>
      </c>
      <c r="B1" s="48" t="s">
        <v>1</v>
      </c>
      <c r="C1" s="48" t="s">
        <v>22</v>
      </c>
      <c r="D1" s="48" t="s">
        <v>4</v>
      </c>
      <c r="E1" s="49" t="s">
        <v>123</v>
      </c>
    </row>
    <row r="2" spans="1:5" x14ac:dyDescent="0.25">
      <c r="A2" s="5" t="str" cm="1">
        <f t="array" ref="A2:E11">_xlfn._xlws.SORT(_xlfn._xlws.FILTER(Data!A:E, Data!E:E=3), {2,3}, {1,1})</f>
        <v>Singapore</v>
      </c>
      <c r="B2" s="5">
        <v>1</v>
      </c>
      <c r="C2" s="5">
        <v>1</v>
      </c>
      <c r="D2" s="5" t="str">
        <v>No</v>
      </c>
      <c r="E2" s="5">
        <v>3</v>
      </c>
    </row>
    <row r="3" spans="1:5" x14ac:dyDescent="0.25">
      <c r="A3" s="5" t="str">
        <v>China</v>
      </c>
      <c r="B3" s="5">
        <v>2</v>
      </c>
      <c r="C3" s="5">
        <v>2</v>
      </c>
      <c r="D3" s="5" t="str">
        <v>Yes</v>
      </c>
      <c r="E3" s="5">
        <v>3</v>
      </c>
    </row>
    <row r="4" spans="1:5" x14ac:dyDescent="0.25">
      <c r="A4" s="5" t="str">
        <v>Italy</v>
      </c>
      <c r="B4" s="5">
        <v>3</v>
      </c>
      <c r="C4" s="5">
        <v>6</v>
      </c>
      <c r="D4" s="5" t="str">
        <v>Yes</v>
      </c>
      <c r="E4" s="5">
        <v>3</v>
      </c>
    </row>
    <row r="5" spans="1:5" x14ac:dyDescent="0.25">
      <c r="A5" s="5" t="str">
        <v>Japan</v>
      </c>
      <c r="B5" s="5">
        <v>7</v>
      </c>
      <c r="C5" s="5">
        <v>7</v>
      </c>
      <c r="D5" s="5" t="str">
        <v>No</v>
      </c>
      <c r="E5" s="5">
        <v>3</v>
      </c>
    </row>
    <row r="6" spans="1:5" x14ac:dyDescent="0.25">
      <c r="A6" s="5" t="str">
        <v>Czechoslovakia</v>
      </c>
      <c r="B6" s="5">
        <v>8</v>
      </c>
      <c r="C6" s="5">
        <v>11</v>
      </c>
      <c r="D6" s="5" t="str">
        <v>Yes</v>
      </c>
      <c r="E6" s="5">
        <v>3</v>
      </c>
    </row>
    <row r="7" spans="1:5" x14ac:dyDescent="0.25">
      <c r="A7" s="5" t="str">
        <v>French</v>
      </c>
      <c r="B7" s="5">
        <v>12</v>
      </c>
      <c r="C7" s="5">
        <v>22</v>
      </c>
      <c r="D7" s="5" t="str">
        <v>Yes</v>
      </c>
      <c r="E7" s="5">
        <v>3</v>
      </c>
    </row>
    <row r="8" spans="1:5" x14ac:dyDescent="0.25">
      <c r="A8" s="5" t="str">
        <v>united kingdom</v>
      </c>
      <c r="B8" s="5">
        <v>23</v>
      </c>
      <c r="C8" s="5">
        <v>27</v>
      </c>
      <c r="D8" s="5" t="str">
        <v>Yes</v>
      </c>
      <c r="E8" s="5">
        <v>3</v>
      </c>
    </row>
    <row r="9" spans="1:5" x14ac:dyDescent="0.25">
      <c r="A9" s="5" t="str">
        <v>Indonesia</v>
      </c>
      <c r="B9" s="5">
        <v>28</v>
      </c>
      <c r="C9" s="5">
        <v>29</v>
      </c>
      <c r="D9" s="5" t="str">
        <v>Yes</v>
      </c>
      <c r="E9" s="5">
        <v>3</v>
      </c>
    </row>
    <row r="10" spans="1:5" x14ac:dyDescent="0.25">
      <c r="A10" s="5" t="str">
        <v>Argentina</v>
      </c>
      <c r="B10" s="5">
        <v>30</v>
      </c>
      <c r="C10" s="5">
        <v>31</v>
      </c>
      <c r="D10" s="5" t="str">
        <v>Yes</v>
      </c>
      <c r="E10" s="5">
        <v>3</v>
      </c>
    </row>
    <row r="11" spans="1:5" x14ac:dyDescent="0.25">
      <c r="A11" s="5" t="str">
        <v>Taiwan</v>
      </c>
      <c r="B11" s="5">
        <v>32</v>
      </c>
      <c r="C11" s="5">
        <v>0</v>
      </c>
      <c r="D11" s="5" t="str">
        <v>No</v>
      </c>
      <c r="E11" s="5">
        <v>3</v>
      </c>
    </row>
  </sheetData>
  <pageMargins left="0.7" right="0.7" top="0.75" bottom="0.75" header="0.3" footer="0.3"/>
  <pageSetup paperSize="9" scale="51" orientation="portrait" cellComments="atEnd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17216-4AAF-45C4-BB36-40C1ACDAB7F1}">
  <sheetPr codeName="Sheet16"/>
  <dimension ref="A1:E11"/>
  <sheetViews>
    <sheetView zoomScaleNormal="100" workbookViewId="0">
      <selection activeCell="C2" sqref="C2:C10"/>
    </sheetView>
  </sheetViews>
  <sheetFormatPr defaultRowHeight="15" x14ac:dyDescent="0.25"/>
  <cols>
    <col min="1" max="5" width="17.42578125" style="5" customWidth="1"/>
  </cols>
  <sheetData>
    <row r="1" spans="1:5" ht="18.75" x14ac:dyDescent="0.25">
      <c r="A1" s="47" t="s">
        <v>122</v>
      </c>
      <c r="B1" s="48" t="s">
        <v>1</v>
      </c>
      <c r="C1" s="48" t="s">
        <v>22</v>
      </c>
      <c r="D1" s="48" t="s">
        <v>4</v>
      </c>
      <c r="E1" s="49" t="s">
        <v>123</v>
      </c>
    </row>
    <row r="2" spans="1:5" x14ac:dyDescent="0.25">
      <c r="A2" s="5" t="str" cm="1">
        <f t="array" ref="A2:E11">_xlfn._xlws.SORT(_xlfn._xlws.FILTER(Data!A:E, Data!E:E=4), {2,3}, {1,1})</f>
        <v>Poland</v>
      </c>
      <c r="B2" s="5">
        <v>1</v>
      </c>
      <c r="C2" s="5">
        <v>5</v>
      </c>
      <c r="D2" s="5" t="str">
        <v>Yes</v>
      </c>
      <c r="E2" s="5">
        <v>4</v>
      </c>
    </row>
    <row r="3" spans="1:5" x14ac:dyDescent="0.25">
      <c r="A3" s="5" t="str">
        <v>Brazil</v>
      </c>
      <c r="B3" s="5">
        <v>6</v>
      </c>
      <c r="C3" s="5">
        <v>6</v>
      </c>
      <c r="D3" s="5" t="str">
        <v>Yes</v>
      </c>
      <c r="E3" s="5">
        <v>4</v>
      </c>
    </row>
    <row r="4" spans="1:5" x14ac:dyDescent="0.25">
      <c r="A4" s="5" t="str">
        <v>Malaya</v>
      </c>
      <c r="B4" s="5">
        <v>7</v>
      </c>
      <c r="C4" s="5">
        <v>7</v>
      </c>
      <c r="D4" s="5" t="str">
        <v>No</v>
      </c>
      <c r="E4" s="5">
        <v>4</v>
      </c>
    </row>
    <row r="5" spans="1:5" x14ac:dyDescent="0.25">
      <c r="A5" s="5" t="str">
        <v>Mongolia</v>
      </c>
      <c r="B5" s="5">
        <v>8</v>
      </c>
      <c r="C5" s="5">
        <v>9</v>
      </c>
      <c r="D5" s="5" t="str">
        <v>Yes</v>
      </c>
      <c r="E5" s="5">
        <v>4</v>
      </c>
    </row>
    <row r="6" spans="1:5" x14ac:dyDescent="0.25">
      <c r="A6" s="5" t="str">
        <v>Romania</v>
      </c>
      <c r="B6" s="5">
        <v>10</v>
      </c>
      <c r="C6" s="5">
        <v>17</v>
      </c>
      <c r="D6" s="5" t="str">
        <v>Yes</v>
      </c>
      <c r="E6" s="5">
        <v>4</v>
      </c>
    </row>
    <row r="7" spans="1:5" x14ac:dyDescent="0.25">
      <c r="A7" s="5" t="str">
        <v>Germany</v>
      </c>
      <c r="B7" s="5">
        <v>18</v>
      </c>
      <c r="C7" s="5">
        <v>28</v>
      </c>
      <c r="D7" s="5" t="str">
        <v>Yes</v>
      </c>
      <c r="E7" s="5">
        <v>4</v>
      </c>
    </row>
    <row r="8" spans="1:5" x14ac:dyDescent="0.25">
      <c r="A8" s="5" t="str">
        <v>Russian</v>
      </c>
      <c r="B8" s="5">
        <v>29</v>
      </c>
      <c r="C8" s="5">
        <v>29</v>
      </c>
      <c r="D8" s="5" t="str">
        <v>No</v>
      </c>
      <c r="E8" s="5">
        <v>4</v>
      </c>
    </row>
    <row r="9" spans="1:5" x14ac:dyDescent="0.25">
      <c r="A9" s="5" t="str">
        <v>Belarus</v>
      </c>
      <c r="B9" s="5">
        <v>30</v>
      </c>
      <c r="C9" s="5">
        <v>30</v>
      </c>
      <c r="D9" s="5" t="str">
        <v>No</v>
      </c>
      <c r="E9" s="5">
        <v>4</v>
      </c>
    </row>
    <row r="10" spans="1:5" x14ac:dyDescent="0.25">
      <c r="A10" s="5" t="str">
        <v>Ukraine</v>
      </c>
      <c r="B10" s="5">
        <v>31</v>
      </c>
      <c r="C10" s="5">
        <v>31</v>
      </c>
      <c r="D10" s="5" t="str">
        <v>No</v>
      </c>
      <c r="E10" s="5">
        <v>4</v>
      </c>
    </row>
    <row r="11" spans="1:5" x14ac:dyDescent="0.25">
      <c r="A11" s="5" t="str">
        <v>Australia</v>
      </c>
      <c r="B11" s="5">
        <v>32</v>
      </c>
      <c r="C11" s="5">
        <v>32</v>
      </c>
      <c r="D11" s="5" t="str">
        <v>Yes</v>
      </c>
      <c r="E11" s="5">
        <v>4</v>
      </c>
    </row>
  </sheetData>
  <pageMargins left="0.7" right="0.7" top="0.75" bottom="0.75" header="0.3" footer="0.3"/>
  <pageSetup paperSize="9" scale="51" orientation="portrait" cellComments="atEnd" r:id="rId1"/>
  <colBreaks count="1" manualBreakCount="1">
    <brk id="7" max="1048575" man="1"/>
  </col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9E795-1621-40C7-869E-1B4DDC445FA5}">
  <sheetPr codeName="Sheet17"/>
  <dimension ref="A1:E25"/>
  <sheetViews>
    <sheetView zoomScaleNormal="100" workbookViewId="0">
      <selection activeCell="A3" sqref="A3"/>
    </sheetView>
  </sheetViews>
  <sheetFormatPr defaultRowHeight="15" x14ac:dyDescent="0.25"/>
  <cols>
    <col min="1" max="5" width="17.42578125" style="5" customWidth="1"/>
  </cols>
  <sheetData>
    <row r="1" spans="1:5" ht="18.75" x14ac:dyDescent="0.25">
      <c r="A1" s="47" t="s">
        <v>122</v>
      </c>
      <c r="B1" s="48" t="s">
        <v>1</v>
      </c>
      <c r="C1" s="48" t="s">
        <v>22</v>
      </c>
      <c r="D1" s="48" t="s">
        <v>4</v>
      </c>
      <c r="E1" s="49" t="s">
        <v>123</v>
      </c>
    </row>
    <row r="2" spans="1:5" x14ac:dyDescent="0.25">
      <c r="A2" s="5" t="str" cm="1">
        <f t="array" ref="A2:E25">_xlfn._xlws.SORT(_xlfn._xlws.FILTER(Data!A:E, Data!E:E=5), {2,3}, {1,1})</f>
        <v>Switzerland</v>
      </c>
      <c r="B2" s="5">
        <v>1</v>
      </c>
      <c r="C2" s="5">
        <v>4</v>
      </c>
      <c r="D2" s="5" t="str">
        <v>Yes</v>
      </c>
      <c r="E2" s="5">
        <v>5</v>
      </c>
    </row>
    <row r="3" spans="1:5" x14ac:dyDescent="0.25">
      <c r="A3" s="5" t="str">
        <v>Austria</v>
      </c>
      <c r="B3" s="5">
        <v>5</v>
      </c>
      <c r="C3" s="5">
        <v>7</v>
      </c>
      <c r="D3" s="5" t="str">
        <v>Yes</v>
      </c>
      <c r="E3" s="5">
        <v>5</v>
      </c>
    </row>
    <row r="4" spans="1:5" x14ac:dyDescent="0.25">
      <c r="A4" s="5" t="str">
        <v>Bulgaria</v>
      </c>
      <c r="B4" s="5">
        <v>8</v>
      </c>
      <c r="C4" s="5">
        <v>10</v>
      </c>
      <c r="D4" s="5" t="str">
        <v>Yes</v>
      </c>
      <c r="E4" s="5">
        <v>5</v>
      </c>
    </row>
    <row r="5" spans="1:5" x14ac:dyDescent="0.25">
      <c r="A5" s="5" t="str">
        <v>Ethiopia</v>
      </c>
      <c r="B5" s="5">
        <v>11</v>
      </c>
      <c r="C5" s="5">
        <v>11</v>
      </c>
      <c r="D5" s="5" t="str">
        <v>No</v>
      </c>
      <c r="E5" s="5">
        <v>5</v>
      </c>
    </row>
    <row r="6" spans="1:5" x14ac:dyDescent="0.25">
      <c r="A6" s="5" t="str">
        <v>Burundi</v>
      </c>
      <c r="B6" s="5">
        <v>12</v>
      </c>
      <c r="C6" s="5">
        <v>12</v>
      </c>
      <c r="D6" s="5" t="str">
        <v>No</v>
      </c>
      <c r="E6" s="5">
        <v>5</v>
      </c>
    </row>
    <row r="7" spans="1:5" x14ac:dyDescent="0.25">
      <c r="A7" s="5" t="str">
        <v>Vanuatu</v>
      </c>
      <c r="B7" s="5">
        <v>13</v>
      </c>
      <c r="C7" s="5">
        <v>13</v>
      </c>
      <c r="D7" s="5" t="str">
        <v>No</v>
      </c>
      <c r="E7" s="5">
        <v>5</v>
      </c>
    </row>
    <row r="8" spans="1:5" x14ac:dyDescent="0.25">
      <c r="A8" s="5" t="str">
        <v>Liechtenstein</v>
      </c>
      <c r="B8" s="5">
        <v>14</v>
      </c>
      <c r="C8" s="5">
        <v>14</v>
      </c>
      <c r="D8" s="5" t="str">
        <v>No</v>
      </c>
      <c r="E8" s="5">
        <v>5</v>
      </c>
    </row>
    <row r="9" spans="1:5" x14ac:dyDescent="0.25">
      <c r="A9" s="5" t="str">
        <v>Maldives</v>
      </c>
      <c r="B9" s="5">
        <v>15</v>
      </c>
      <c r="C9" s="5">
        <v>15</v>
      </c>
      <c r="D9" s="5" t="str">
        <v>No</v>
      </c>
      <c r="E9" s="5">
        <v>5</v>
      </c>
    </row>
    <row r="10" spans="1:5" x14ac:dyDescent="0.25">
      <c r="A10" s="5" t="str">
        <v>Rwanda</v>
      </c>
      <c r="B10" s="5">
        <v>16</v>
      </c>
      <c r="C10" s="5">
        <v>16</v>
      </c>
      <c r="D10" s="5" t="str">
        <v>Yes</v>
      </c>
      <c r="E10" s="5">
        <v>5</v>
      </c>
    </row>
    <row r="11" spans="1:5" x14ac:dyDescent="0.25">
      <c r="A11" s="5" t="str">
        <v>Yugoslavia</v>
      </c>
      <c r="B11" s="5">
        <v>17</v>
      </c>
      <c r="C11" s="5">
        <v>17</v>
      </c>
      <c r="D11" s="5" t="str">
        <v>Yes</v>
      </c>
      <c r="E11" s="5">
        <v>5</v>
      </c>
    </row>
    <row r="12" spans="1:5" x14ac:dyDescent="0.25">
      <c r="A12" s="5" t="str">
        <v>Haiti</v>
      </c>
      <c r="B12" s="5">
        <v>18</v>
      </c>
      <c r="C12" s="5">
        <v>18</v>
      </c>
      <c r="D12" s="5" t="str">
        <v>No</v>
      </c>
      <c r="E12" s="5">
        <v>5</v>
      </c>
    </row>
    <row r="13" spans="1:5" x14ac:dyDescent="0.25">
      <c r="A13" s="5" t="str">
        <v>northlands eat indies</v>
      </c>
      <c r="B13" s="5">
        <v>19</v>
      </c>
      <c r="C13" s="5">
        <v>19</v>
      </c>
      <c r="D13" s="5" t="str">
        <v>No</v>
      </c>
      <c r="E13" s="5">
        <v>5</v>
      </c>
    </row>
    <row r="14" spans="1:5" x14ac:dyDescent="0.25">
      <c r="A14" s="5" t="str">
        <v>Portugal</v>
      </c>
      <c r="B14" s="5">
        <v>20</v>
      </c>
      <c r="C14" s="5">
        <v>20</v>
      </c>
      <c r="D14" s="5" t="str">
        <v>Yes</v>
      </c>
      <c r="E14" s="5">
        <v>5</v>
      </c>
    </row>
    <row r="15" spans="1:5" x14ac:dyDescent="0.25">
      <c r="A15" s="5" t="str">
        <v>Ireland</v>
      </c>
      <c r="B15" s="5">
        <v>21</v>
      </c>
      <c r="C15" s="5">
        <v>21</v>
      </c>
      <c r="D15" s="5" t="str">
        <v>No</v>
      </c>
      <c r="E15" s="5">
        <v>5</v>
      </c>
    </row>
    <row r="16" spans="1:5" x14ac:dyDescent="0.25">
      <c r="A16" s="5" t="str">
        <v>Luxembourg</v>
      </c>
      <c r="B16" s="5">
        <v>22</v>
      </c>
      <c r="C16" s="5">
        <v>22</v>
      </c>
      <c r="D16" s="5" t="str">
        <v>No</v>
      </c>
      <c r="E16" s="5">
        <v>5</v>
      </c>
    </row>
    <row r="17" spans="1:5" x14ac:dyDescent="0.25">
      <c r="A17" s="5" t="str">
        <v>Monaco</v>
      </c>
      <c r="B17" s="5">
        <v>23</v>
      </c>
      <c r="C17" s="5">
        <v>23</v>
      </c>
      <c r="D17" s="5" t="str">
        <v>Yes</v>
      </c>
      <c r="E17" s="5">
        <v>5</v>
      </c>
    </row>
    <row r="18" spans="1:5" x14ac:dyDescent="0.25">
      <c r="A18" s="5" t="str">
        <v>Bavaria</v>
      </c>
      <c r="B18" s="5">
        <v>24</v>
      </c>
      <c r="C18" s="5">
        <v>24</v>
      </c>
      <c r="D18" s="5" t="str">
        <v>No</v>
      </c>
      <c r="E18" s="5">
        <v>5</v>
      </c>
    </row>
    <row r="19" spans="1:5" x14ac:dyDescent="0.25">
      <c r="A19" s="5" t="str">
        <v>Serbs, Croats and Slovenes</v>
      </c>
      <c r="B19" s="5">
        <v>25</v>
      </c>
      <c r="C19" s="5">
        <v>25</v>
      </c>
      <c r="D19" s="5" t="str">
        <v>No</v>
      </c>
      <c r="E19" s="5">
        <v>5</v>
      </c>
    </row>
    <row r="20" spans="1:5" x14ac:dyDescent="0.25">
      <c r="A20" s="5" t="str">
        <v>Latvia</v>
      </c>
      <c r="B20" s="5">
        <v>26</v>
      </c>
      <c r="C20" s="5">
        <v>26</v>
      </c>
      <c r="D20" s="5" t="str">
        <v>No</v>
      </c>
      <c r="E20" s="5">
        <v>5</v>
      </c>
    </row>
    <row r="21" spans="1:5" x14ac:dyDescent="0.25">
      <c r="A21" s="5" t="str">
        <v>Brazil</v>
      </c>
      <c r="B21" s="5">
        <v>27</v>
      </c>
      <c r="C21" s="5">
        <v>27</v>
      </c>
      <c r="D21" s="5" t="str">
        <v>No</v>
      </c>
      <c r="E21" s="5">
        <v>5</v>
      </c>
    </row>
    <row r="22" spans="1:5" x14ac:dyDescent="0.25">
      <c r="A22" s="5" t="str">
        <v>Guatemala</v>
      </c>
      <c r="B22" s="5">
        <v>28</v>
      </c>
      <c r="C22" s="5">
        <v>28</v>
      </c>
      <c r="D22" s="5" t="str">
        <v>No</v>
      </c>
      <c r="E22" s="5">
        <v>5</v>
      </c>
    </row>
    <row r="23" spans="1:5" x14ac:dyDescent="0.25">
      <c r="A23" s="5" t="str">
        <v>soviet unio</v>
      </c>
      <c r="B23" s="5">
        <v>29</v>
      </c>
      <c r="C23" s="5">
        <v>30</v>
      </c>
      <c r="D23" s="5" t="str">
        <v>No</v>
      </c>
      <c r="E23" s="5">
        <v>5</v>
      </c>
    </row>
    <row r="24" spans="1:5" x14ac:dyDescent="0.25">
      <c r="A24" s="5" t="str">
        <v>Argentina</v>
      </c>
      <c r="B24" s="5">
        <v>31</v>
      </c>
      <c r="C24" s="5">
        <v>31</v>
      </c>
      <c r="D24" s="5" t="str">
        <v>No</v>
      </c>
      <c r="E24" s="5">
        <v>5</v>
      </c>
    </row>
    <row r="25" spans="1:5" x14ac:dyDescent="0.25">
      <c r="A25" s="5" t="str">
        <v>uno</v>
      </c>
      <c r="B25" s="5">
        <v>32</v>
      </c>
      <c r="C25" s="5">
        <v>32</v>
      </c>
      <c r="D25" s="5" t="str">
        <v>No</v>
      </c>
      <c r="E25" s="5">
        <v>5</v>
      </c>
    </row>
  </sheetData>
  <pageMargins left="0.7" right="0.7" top="0.75" bottom="0.75" header="0.3" footer="0.3"/>
  <pageSetup paperSize="9" scale="51" orientation="portrait" cellComments="atEnd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8E6BC-F978-4A52-8272-B636B9D6972E}">
  <sheetPr codeName="Sheet18"/>
  <dimension ref="A1:E27"/>
  <sheetViews>
    <sheetView zoomScaleNormal="100" workbookViewId="0">
      <selection activeCell="A3" sqref="A3"/>
    </sheetView>
  </sheetViews>
  <sheetFormatPr defaultRowHeight="15" x14ac:dyDescent="0.25"/>
  <cols>
    <col min="1" max="4" width="17.42578125" style="5" customWidth="1"/>
    <col min="5" max="5" width="17.7109375" style="5" customWidth="1"/>
  </cols>
  <sheetData>
    <row r="1" spans="1:5" ht="18.75" x14ac:dyDescent="0.25">
      <c r="A1" s="47" t="s">
        <v>122</v>
      </c>
      <c r="B1" s="48" t="s">
        <v>1</v>
      </c>
      <c r="C1" s="48" t="s">
        <v>22</v>
      </c>
      <c r="D1" s="48" t="s">
        <v>4</v>
      </c>
      <c r="E1" s="49" t="s">
        <v>123</v>
      </c>
    </row>
    <row r="2" spans="1:5" x14ac:dyDescent="0.25">
      <c r="A2" s="5" t="str" cm="1">
        <f t="array" ref="A2:E27">_xlfn._xlws.SORT(_xlfn._xlws.FILTER(Data!A:E, Data!E:E=6), {2,3}, {1,1})</f>
        <v>Germany</v>
      </c>
      <c r="B2" s="5">
        <v>1</v>
      </c>
      <c r="C2" s="5">
        <v>2</v>
      </c>
      <c r="D2" s="5" t="str">
        <v>Yes</v>
      </c>
      <c r="E2" s="5">
        <v>6</v>
      </c>
    </row>
    <row r="3" spans="1:5" x14ac:dyDescent="0.25">
      <c r="A3" s="5" t="str">
        <v>Poland</v>
      </c>
      <c r="B3" s="5">
        <v>3</v>
      </c>
      <c r="C3" s="5">
        <v>5</v>
      </c>
      <c r="D3" s="5" t="str">
        <v>No</v>
      </c>
      <c r="E3" s="5">
        <v>6</v>
      </c>
    </row>
    <row r="4" spans="1:5" x14ac:dyDescent="0.25">
      <c r="A4" s="5" t="str">
        <v>U.S.A</v>
      </c>
      <c r="B4" s="5">
        <v>6</v>
      </c>
      <c r="C4" s="5">
        <v>7</v>
      </c>
      <c r="D4" s="5" t="str">
        <v>Yes</v>
      </c>
      <c r="E4" s="5">
        <v>6</v>
      </c>
    </row>
    <row r="5" spans="1:5" x14ac:dyDescent="0.25">
      <c r="A5" s="5" t="str">
        <v>Mongolia</v>
      </c>
      <c r="B5" s="5">
        <v>8</v>
      </c>
      <c r="C5" s="5">
        <v>8</v>
      </c>
      <c r="D5" s="5" t="str">
        <v>No</v>
      </c>
      <c r="E5" s="5">
        <v>6</v>
      </c>
    </row>
    <row r="6" spans="1:5" x14ac:dyDescent="0.25">
      <c r="A6" s="5" t="str">
        <v>Chile</v>
      </c>
      <c r="B6" s="5">
        <v>9</v>
      </c>
      <c r="C6" s="5">
        <v>9</v>
      </c>
      <c r="D6" s="5" t="str">
        <v>No</v>
      </c>
      <c r="E6" s="5">
        <v>6</v>
      </c>
    </row>
    <row r="7" spans="1:5" x14ac:dyDescent="0.25">
      <c r="A7" s="5" t="str">
        <v>Germany</v>
      </c>
      <c r="B7" s="5">
        <v>10</v>
      </c>
      <c r="C7" s="5">
        <v>10</v>
      </c>
      <c r="D7" s="5" t="str">
        <v>No</v>
      </c>
      <c r="E7" s="5">
        <v>6</v>
      </c>
    </row>
    <row r="8" spans="1:5" x14ac:dyDescent="0.25">
      <c r="A8" s="5" t="str">
        <v>viet nam</v>
      </c>
      <c r="B8" s="5">
        <v>11</v>
      </c>
      <c r="C8" s="5">
        <v>11</v>
      </c>
      <c r="D8" s="5" t="str">
        <v>No</v>
      </c>
      <c r="E8" s="5">
        <v>6</v>
      </c>
    </row>
    <row r="9" spans="1:5" x14ac:dyDescent="0.25">
      <c r="A9" s="5" t="str">
        <v>Nederland</v>
      </c>
      <c r="B9" s="5">
        <v>12</v>
      </c>
      <c r="C9" s="5">
        <v>12</v>
      </c>
      <c r="D9" s="5" t="str">
        <v>Yes</v>
      </c>
      <c r="E9" s="5">
        <v>6</v>
      </c>
    </row>
    <row r="10" spans="1:5" x14ac:dyDescent="0.25">
      <c r="A10" s="5" t="str">
        <v>Spain</v>
      </c>
      <c r="B10" s="5">
        <v>13</v>
      </c>
      <c r="C10" s="5">
        <v>13</v>
      </c>
      <c r="D10" s="5" t="str">
        <v>Yes</v>
      </c>
      <c r="E10" s="5">
        <v>6</v>
      </c>
    </row>
    <row r="11" spans="1:5" x14ac:dyDescent="0.25">
      <c r="A11" s="5" t="str">
        <v xml:space="preserve">South Africa </v>
      </c>
      <c r="B11" s="5">
        <v>14</v>
      </c>
      <c r="C11" s="5">
        <v>14</v>
      </c>
      <c r="D11" s="5" t="str">
        <v>No</v>
      </c>
      <c r="E11" s="5">
        <v>6</v>
      </c>
    </row>
    <row r="12" spans="1:5" x14ac:dyDescent="0.25">
      <c r="A12" s="5" t="str">
        <v>Greece</v>
      </c>
      <c r="B12" s="5">
        <v>15</v>
      </c>
      <c r="C12" s="5">
        <v>15</v>
      </c>
      <c r="D12" s="5" t="str">
        <v>Yes</v>
      </c>
      <c r="E12" s="5">
        <v>6</v>
      </c>
    </row>
    <row r="13" spans="1:5" x14ac:dyDescent="0.25">
      <c r="A13" s="5" t="str">
        <v>Italy</v>
      </c>
      <c r="B13" s="5">
        <v>16</v>
      </c>
      <c r="C13" s="5">
        <v>16</v>
      </c>
      <c r="D13" s="5" t="str">
        <v>Yes</v>
      </c>
      <c r="E13" s="5">
        <v>6</v>
      </c>
    </row>
    <row r="14" spans="1:5" x14ac:dyDescent="0.25">
      <c r="A14" s="5" t="str">
        <v>China</v>
      </c>
      <c r="B14" s="5">
        <v>17</v>
      </c>
      <c r="C14" s="5">
        <v>17</v>
      </c>
      <c r="D14" s="5" t="str">
        <v>Yes</v>
      </c>
      <c r="E14" s="5">
        <v>6</v>
      </c>
    </row>
    <row r="15" spans="1:5" x14ac:dyDescent="0.25">
      <c r="A15" s="5" t="str">
        <v>Sweden</v>
      </c>
      <c r="B15" s="5">
        <v>18</v>
      </c>
      <c r="C15" s="5">
        <v>18</v>
      </c>
      <c r="D15" s="5" t="str">
        <v>No</v>
      </c>
      <c r="E15" s="5">
        <v>6</v>
      </c>
    </row>
    <row r="16" spans="1:5" x14ac:dyDescent="0.25">
      <c r="A16" s="5" t="str">
        <v>Ghana</v>
      </c>
      <c r="B16" s="5">
        <v>19</v>
      </c>
      <c r="C16" s="5">
        <v>19</v>
      </c>
      <c r="D16" s="5" t="str">
        <v>No</v>
      </c>
      <c r="E16" s="5">
        <v>6</v>
      </c>
    </row>
    <row r="17" spans="1:5" x14ac:dyDescent="0.25">
      <c r="A17" s="5" t="str">
        <v>Yugoslavia</v>
      </c>
      <c r="B17" s="5">
        <v>20</v>
      </c>
      <c r="C17" s="5">
        <v>20</v>
      </c>
      <c r="D17" s="5" t="str">
        <v>No</v>
      </c>
      <c r="E17" s="5">
        <v>6</v>
      </c>
    </row>
    <row r="18" spans="1:5" x14ac:dyDescent="0.25">
      <c r="A18" s="5" t="str">
        <v>Nederland</v>
      </c>
      <c r="B18" s="5">
        <v>21</v>
      </c>
      <c r="C18" s="5">
        <v>21</v>
      </c>
      <c r="D18" s="5" t="str">
        <v>No</v>
      </c>
      <c r="E18" s="5">
        <v>6</v>
      </c>
    </row>
    <row r="19" spans="1:5" x14ac:dyDescent="0.25">
      <c r="A19" s="5" t="str">
        <v>Bulgaria</v>
      </c>
      <c r="B19" s="5">
        <v>22</v>
      </c>
      <c r="C19" s="5">
        <v>22</v>
      </c>
      <c r="D19" s="5" t="str">
        <v>No</v>
      </c>
      <c r="E19" s="5">
        <v>6</v>
      </c>
    </row>
    <row r="20" spans="1:5" x14ac:dyDescent="0.25">
      <c r="A20" s="5" t="str">
        <v xml:space="preserve">South Africa </v>
      </c>
      <c r="B20" s="5">
        <v>23</v>
      </c>
      <c r="C20" s="5">
        <v>23</v>
      </c>
      <c r="D20" s="5" t="str">
        <v>No</v>
      </c>
      <c r="E20" s="5">
        <v>6</v>
      </c>
    </row>
    <row r="21" spans="1:5" x14ac:dyDescent="0.25">
      <c r="A21" s="5" t="str">
        <v>Austria</v>
      </c>
      <c r="B21" s="5">
        <v>24</v>
      </c>
      <c r="C21" s="5">
        <v>24</v>
      </c>
      <c r="D21" s="5" t="str">
        <v>No</v>
      </c>
      <c r="E21" s="5">
        <v>6</v>
      </c>
    </row>
    <row r="22" spans="1:5" x14ac:dyDescent="0.25">
      <c r="A22" s="5" t="str">
        <v>China</v>
      </c>
      <c r="B22" s="5">
        <v>25</v>
      </c>
      <c r="C22" s="5">
        <v>25</v>
      </c>
      <c r="D22" s="5" t="str">
        <v>No</v>
      </c>
      <c r="E22" s="5">
        <v>6</v>
      </c>
    </row>
    <row r="23" spans="1:5" x14ac:dyDescent="0.25">
      <c r="A23" s="5" t="str">
        <v>Australia</v>
      </c>
      <c r="B23" s="5">
        <v>26</v>
      </c>
      <c r="C23" s="5">
        <v>26</v>
      </c>
      <c r="D23" s="5" t="str">
        <v>No</v>
      </c>
      <c r="E23" s="5">
        <v>6</v>
      </c>
    </row>
    <row r="24" spans="1:5" x14ac:dyDescent="0.25">
      <c r="A24" s="5" t="str">
        <v>Spain</v>
      </c>
      <c r="B24" s="5">
        <v>27</v>
      </c>
      <c r="C24" s="5">
        <v>28</v>
      </c>
      <c r="D24" s="5" t="str">
        <v>Yes</v>
      </c>
      <c r="E24" s="5">
        <v>6</v>
      </c>
    </row>
    <row r="25" spans="1:5" x14ac:dyDescent="0.25">
      <c r="A25" s="5" t="str">
        <v>Australia</v>
      </c>
      <c r="B25" s="5">
        <v>29</v>
      </c>
      <c r="C25" s="5">
        <v>30</v>
      </c>
      <c r="D25" s="5" t="str">
        <v>Yes</v>
      </c>
      <c r="E25" s="5">
        <v>6</v>
      </c>
    </row>
    <row r="26" spans="1:5" x14ac:dyDescent="0.25">
      <c r="A26" s="5" t="str">
        <v>Canada</v>
      </c>
      <c r="B26" s="5">
        <v>31</v>
      </c>
      <c r="C26" s="5">
        <v>31</v>
      </c>
      <c r="D26" s="5" t="str">
        <v>Yes</v>
      </c>
      <c r="E26" s="5">
        <v>6</v>
      </c>
    </row>
    <row r="27" spans="1:5" x14ac:dyDescent="0.25">
      <c r="A27" s="5" t="str">
        <v>Australia</v>
      </c>
      <c r="B27" s="5">
        <v>32</v>
      </c>
      <c r="C27" s="5">
        <v>32</v>
      </c>
      <c r="D27" s="5" t="str">
        <v>No</v>
      </c>
      <c r="E27" s="5">
        <v>6</v>
      </c>
    </row>
  </sheetData>
  <pageMargins left="0.7" right="0.7" top="0.75" bottom="0.75" header="0.3" footer="0.3"/>
  <pageSetup paperSize="9" scale="51" orientation="portrait" cellComments="atEnd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D3224-3ABE-4FF6-9B73-4FE0398A61CF}">
  <sheetPr codeName="Sheet19"/>
  <dimension ref="A1:E42"/>
  <sheetViews>
    <sheetView zoomScaleNormal="100" workbookViewId="0">
      <selection activeCell="I13" sqref="I13"/>
    </sheetView>
  </sheetViews>
  <sheetFormatPr defaultRowHeight="15" x14ac:dyDescent="0.25"/>
  <cols>
    <col min="1" max="5" width="17.42578125" style="5" customWidth="1"/>
  </cols>
  <sheetData>
    <row r="1" spans="1:5" ht="18.75" x14ac:dyDescent="0.25">
      <c r="A1" s="47" t="s">
        <v>122</v>
      </c>
      <c r="B1" s="48" t="s">
        <v>1</v>
      </c>
      <c r="C1" s="48" t="s">
        <v>22</v>
      </c>
      <c r="D1" s="48" t="s">
        <v>4</v>
      </c>
      <c r="E1" s="49" t="s">
        <v>123</v>
      </c>
    </row>
    <row r="2" spans="1:5" x14ac:dyDescent="0.25">
      <c r="A2" s="5" t="str" cm="1">
        <f t="array" ref="A2:E42">_xlfn._xlws.SORT(_xlfn._xlws.FILTER(Data!A:E, Data!E:E=7), {2,3}, {1,1})</f>
        <v>Belgium</v>
      </c>
      <c r="B2" s="5">
        <v>1</v>
      </c>
      <c r="C2" s="5">
        <v>2</v>
      </c>
      <c r="D2" s="5" t="str">
        <v>No</v>
      </c>
      <c r="E2" s="5">
        <v>7</v>
      </c>
    </row>
    <row r="3" spans="1:5" x14ac:dyDescent="0.25">
      <c r="A3" s="5" t="str">
        <v>united kingdom</v>
      </c>
      <c r="B3" s="5">
        <v>3</v>
      </c>
      <c r="C3" s="5">
        <v>6</v>
      </c>
      <c r="D3" s="5" t="str">
        <v>Yes</v>
      </c>
      <c r="E3" s="5">
        <v>7</v>
      </c>
    </row>
    <row r="4" spans="1:5" x14ac:dyDescent="0.25">
      <c r="A4" s="5" t="str">
        <v>Italy</v>
      </c>
      <c r="B4" s="5">
        <v>7</v>
      </c>
      <c r="C4" s="5">
        <v>8</v>
      </c>
      <c r="D4" s="5" t="str">
        <v>Yes</v>
      </c>
      <c r="E4" s="5">
        <v>7</v>
      </c>
    </row>
    <row r="5" spans="1:5" x14ac:dyDescent="0.25">
      <c r="A5" s="5" t="str">
        <v>Indonesia</v>
      </c>
      <c r="B5" s="5">
        <v>9</v>
      </c>
      <c r="C5" s="5">
        <v>9</v>
      </c>
      <c r="D5" s="5" t="str">
        <v>No</v>
      </c>
      <c r="E5" s="5">
        <v>7</v>
      </c>
    </row>
    <row r="6" spans="1:5" x14ac:dyDescent="0.25">
      <c r="A6" s="5" t="str">
        <v>Portugal</v>
      </c>
      <c r="B6" s="5">
        <v>10</v>
      </c>
      <c r="C6" s="5">
        <v>10</v>
      </c>
      <c r="D6" s="5" t="str">
        <v>Yes</v>
      </c>
      <c r="E6" s="5">
        <v>7</v>
      </c>
    </row>
    <row r="7" spans="1:5" x14ac:dyDescent="0.25">
      <c r="A7" s="5" t="str">
        <v>France</v>
      </c>
      <c r="B7" s="5">
        <v>11</v>
      </c>
      <c r="C7" s="5">
        <v>12</v>
      </c>
      <c r="D7" s="5" t="str">
        <v>Yes</v>
      </c>
      <c r="E7" s="5">
        <v>7</v>
      </c>
    </row>
    <row r="8" spans="1:5" x14ac:dyDescent="0.25">
      <c r="A8" s="5" t="str">
        <v>Zaire</v>
      </c>
      <c r="B8" s="5">
        <v>13</v>
      </c>
      <c r="C8" s="5">
        <v>14</v>
      </c>
      <c r="D8" s="5" t="str">
        <v>No</v>
      </c>
      <c r="E8" s="5">
        <v>7</v>
      </c>
    </row>
    <row r="9" spans="1:5" x14ac:dyDescent="0.25">
      <c r="A9" s="5" t="str">
        <v>Romania</v>
      </c>
      <c r="B9" s="5">
        <v>15</v>
      </c>
      <c r="C9" s="5">
        <v>15</v>
      </c>
      <c r="D9" s="5" t="str">
        <v>Yes</v>
      </c>
      <c r="E9" s="5">
        <v>7</v>
      </c>
    </row>
    <row r="10" spans="1:5" x14ac:dyDescent="0.25">
      <c r="A10" s="5" t="str">
        <v>Cyprus</v>
      </c>
      <c r="B10" s="5">
        <v>16</v>
      </c>
      <c r="C10" s="5">
        <v>16</v>
      </c>
      <c r="D10" s="5" t="str">
        <v>Yes</v>
      </c>
      <c r="E10" s="5">
        <v>7</v>
      </c>
    </row>
    <row r="11" spans="1:5" x14ac:dyDescent="0.25">
      <c r="A11" s="5" t="str">
        <v>Togo</v>
      </c>
      <c r="B11" s="5">
        <v>17</v>
      </c>
      <c r="C11" s="5">
        <v>17</v>
      </c>
      <c r="D11" s="5" t="str">
        <v>No</v>
      </c>
      <c r="E11" s="5">
        <v>7</v>
      </c>
    </row>
    <row r="12" spans="1:5" x14ac:dyDescent="0.25">
      <c r="A12" s="5" t="str">
        <v>Greece</v>
      </c>
      <c r="B12" s="5">
        <v>18</v>
      </c>
      <c r="C12" s="5">
        <v>18</v>
      </c>
      <c r="D12" s="5" t="str">
        <v>No</v>
      </c>
      <c r="E12" s="5">
        <v>7</v>
      </c>
    </row>
    <row r="13" spans="1:5" x14ac:dyDescent="0.25">
      <c r="A13" s="5" t="str">
        <v>south Africa</v>
      </c>
      <c r="B13" s="5">
        <v>19</v>
      </c>
      <c r="C13" s="5">
        <v>19</v>
      </c>
      <c r="D13" s="5" t="str">
        <v>Yes</v>
      </c>
      <c r="E13" s="5">
        <v>7</v>
      </c>
    </row>
    <row r="14" spans="1:5" x14ac:dyDescent="0.25">
      <c r="A14" s="5" t="str">
        <v>Denmark</v>
      </c>
      <c r="B14" s="5">
        <v>20</v>
      </c>
      <c r="C14" s="5">
        <v>20</v>
      </c>
      <c r="D14" s="5" t="str">
        <v>No</v>
      </c>
      <c r="E14" s="5">
        <v>7</v>
      </c>
    </row>
    <row r="15" spans="1:5" x14ac:dyDescent="0.25">
      <c r="A15" s="5" t="str">
        <v>France</v>
      </c>
      <c r="B15" s="5">
        <v>21</v>
      </c>
      <c r="C15" s="5">
        <v>21</v>
      </c>
      <c r="D15" s="5" t="str">
        <v>No</v>
      </c>
      <c r="E15" s="5">
        <v>7</v>
      </c>
    </row>
    <row r="16" spans="1:5" x14ac:dyDescent="0.25">
      <c r="A16" s="5" t="str">
        <v>Germany</v>
      </c>
      <c r="B16" s="5">
        <v>22</v>
      </c>
      <c r="C16" s="5">
        <v>22</v>
      </c>
      <c r="D16" s="5" t="str">
        <v>Yes</v>
      </c>
      <c r="E16" s="5">
        <v>7</v>
      </c>
    </row>
    <row r="17" spans="1:5" x14ac:dyDescent="0.25">
      <c r="A17" s="5" t="str">
        <v>guernsey</v>
      </c>
      <c r="B17" s="5">
        <v>23</v>
      </c>
      <c r="C17" s="5">
        <v>23</v>
      </c>
      <c r="D17" s="5" t="str">
        <v>No</v>
      </c>
      <c r="E17" s="5">
        <v>7</v>
      </c>
    </row>
    <row r="18" spans="1:5" x14ac:dyDescent="0.25">
      <c r="A18" s="5" t="str">
        <v>ivory coast</v>
      </c>
      <c r="B18" s="5">
        <v>24</v>
      </c>
      <c r="C18" s="5">
        <v>24</v>
      </c>
      <c r="D18" s="5" t="str">
        <v>No</v>
      </c>
      <c r="E18" s="5">
        <v>7</v>
      </c>
    </row>
    <row r="19" spans="1:5" x14ac:dyDescent="0.25">
      <c r="A19" s="5" t="str">
        <v>jersey</v>
      </c>
      <c r="B19" s="5">
        <v>25</v>
      </c>
      <c r="C19" s="5">
        <v>25</v>
      </c>
      <c r="D19" s="5" t="str">
        <v>No</v>
      </c>
      <c r="E19" s="5">
        <v>7</v>
      </c>
    </row>
    <row r="20" spans="1:5" x14ac:dyDescent="0.25">
      <c r="A20" s="5" t="str">
        <v>Greenland</v>
      </c>
      <c r="B20" s="5">
        <v>26</v>
      </c>
      <c r="C20" s="5">
        <v>26</v>
      </c>
      <c r="D20" s="5" t="str">
        <v>No</v>
      </c>
      <c r="E20" s="5">
        <v>7</v>
      </c>
    </row>
    <row r="21" spans="1:5" x14ac:dyDescent="0.25">
      <c r="A21" s="5" t="str">
        <v>Cameroon</v>
      </c>
      <c r="B21" s="5">
        <v>27</v>
      </c>
      <c r="C21" s="5">
        <v>27</v>
      </c>
      <c r="D21" s="5" t="str">
        <v>No</v>
      </c>
      <c r="E21" s="5">
        <v>7</v>
      </c>
    </row>
    <row r="22" spans="1:5" x14ac:dyDescent="0.25">
      <c r="A22" s="5" t="str">
        <v>U.S.A</v>
      </c>
      <c r="B22" s="5">
        <v>28</v>
      </c>
      <c r="C22" s="5">
        <v>28</v>
      </c>
      <c r="D22" s="5" t="str">
        <v>Yes</v>
      </c>
      <c r="E22" s="5">
        <v>7</v>
      </c>
    </row>
    <row r="23" spans="1:5" x14ac:dyDescent="0.25">
      <c r="A23" s="5" t="str">
        <v>Switzerland</v>
      </c>
      <c r="B23" s="5">
        <v>29</v>
      </c>
      <c r="C23" s="5">
        <v>31</v>
      </c>
      <c r="D23" s="5" t="str">
        <v>Yes</v>
      </c>
      <c r="E23" s="5">
        <v>7</v>
      </c>
    </row>
    <row r="24" spans="1:5" x14ac:dyDescent="0.25">
      <c r="A24" s="5" t="str">
        <v>Romania</v>
      </c>
      <c r="B24" s="5">
        <v>32</v>
      </c>
      <c r="C24" s="5">
        <v>32</v>
      </c>
      <c r="D24" s="5" t="str">
        <v>No</v>
      </c>
      <c r="E24" s="5">
        <v>7</v>
      </c>
    </row>
    <row r="25" spans="1:5" x14ac:dyDescent="0.25">
      <c r="A25" s="5" t="str">
        <v xml:space="preserve">Rwanda </v>
      </c>
      <c r="B25" s="5">
        <v>33</v>
      </c>
      <c r="C25" s="5">
        <v>33</v>
      </c>
      <c r="D25" s="5" t="str">
        <v>No</v>
      </c>
      <c r="E25" s="5">
        <v>7</v>
      </c>
    </row>
    <row r="26" spans="1:5" x14ac:dyDescent="0.25">
      <c r="A26" s="5" t="str">
        <v>Zambia</v>
      </c>
      <c r="B26" s="5">
        <v>34</v>
      </c>
      <c r="C26" s="5">
        <v>34</v>
      </c>
      <c r="D26" s="5" t="str">
        <v>No</v>
      </c>
      <c r="E26" s="5">
        <v>7</v>
      </c>
    </row>
    <row r="27" spans="1:5" x14ac:dyDescent="0.25">
      <c r="A27" s="5" t="str">
        <v>Togo</v>
      </c>
      <c r="B27" s="5">
        <v>35</v>
      </c>
      <c r="C27" s="5">
        <v>35</v>
      </c>
      <c r="D27" s="5">
        <v>0</v>
      </c>
      <c r="E27" s="5">
        <v>7</v>
      </c>
    </row>
    <row r="28" spans="1:5" x14ac:dyDescent="0.25">
      <c r="A28" s="5" t="str">
        <v>Czechol</v>
      </c>
      <c r="B28" s="5">
        <v>36</v>
      </c>
      <c r="C28" s="5">
        <v>36</v>
      </c>
      <c r="D28" s="5">
        <v>0</v>
      </c>
      <c r="E28" s="5">
        <v>7</v>
      </c>
    </row>
    <row r="29" spans="1:5" x14ac:dyDescent="0.25">
      <c r="A29" s="5" t="str">
        <v>united kingdom</v>
      </c>
      <c r="B29" s="5">
        <v>37</v>
      </c>
      <c r="C29" s="5">
        <v>37</v>
      </c>
      <c r="D29" s="5">
        <v>0</v>
      </c>
      <c r="E29" s="5">
        <v>7</v>
      </c>
    </row>
    <row r="30" spans="1:5" x14ac:dyDescent="0.25">
      <c r="A30" s="5" t="str">
        <v>Cyprus</v>
      </c>
      <c r="B30" s="5">
        <v>38</v>
      </c>
      <c r="C30" s="5">
        <v>38</v>
      </c>
      <c r="D30" s="5">
        <v>0</v>
      </c>
      <c r="E30" s="5">
        <v>7</v>
      </c>
    </row>
    <row r="31" spans="1:5" x14ac:dyDescent="0.25">
      <c r="A31" s="5" t="str">
        <v>Italy</v>
      </c>
      <c r="B31" s="5">
        <v>39</v>
      </c>
      <c r="C31" s="5">
        <v>39</v>
      </c>
      <c r="D31" s="5">
        <v>0</v>
      </c>
      <c r="E31" s="5">
        <v>7</v>
      </c>
    </row>
    <row r="32" spans="1:5" x14ac:dyDescent="0.25">
      <c r="A32" s="5" t="str">
        <v>Greek</v>
      </c>
      <c r="B32" s="5">
        <v>40</v>
      </c>
      <c r="C32" s="5">
        <v>40</v>
      </c>
      <c r="D32" s="5">
        <v>0</v>
      </c>
      <c r="E32" s="5">
        <v>7</v>
      </c>
    </row>
    <row r="33" spans="1:5" x14ac:dyDescent="0.25">
      <c r="A33" s="5" t="str">
        <v>Monaco</v>
      </c>
      <c r="B33" s="5">
        <v>41</v>
      </c>
      <c r="C33" s="5">
        <v>41</v>
      </c>
      <c r="D33" s="5">
        <v>0</v>
      </c>
      <c r="E33" s="5">
        <v>7</v>
      </c>
    </row>
    <row r="34" spans="1:5" x14ac:dyDescent="0.25">
      <c r="A34" s="5" t="str">
        <v>Poland</v>
      </c>
      <c r="B34" s="5">
        <v>42</v>
      </c>
      <c r="C34" s="5">
        <v>42</v>
      </c>
      <c r="D34" s="5">
        <v>0</v>
      </c>
      <c r="E34" s="5">
        <v>7</v>
      </c>
    </row>
    <row r="35" spans="1:5" x14ac:dyDescent="0.25">
      <c r="A35" s="5" t="str">
        <v>Usa</v>
      </c>
      <c r="B35" s="5">
        <v>43</v>
      </c>
      <c r="C35" s="5">
        <v>48</v>
      </c>
      <c r="D35" s="5">
        <v>0</v>
      </c>
      <c r="E35" s="5">
        <v>7</v>
      </c>
    </row>
    <row r="36" spans="1:5" x14ac:dyDescent="0.25">
      <c r="A36" s="5" t="str">
        <v>Yugolsavia</v>
      </c>
      <c r="B36" s="5">
        <v>49</v>
      </c>
      <c r="C36" s="5">
        <v>51</v>
      </c>
      <c r="D36" s="5">
        <v>0</v>
      </c>
      <c r="E36" s="5">
        <v>7</v>
      </c>
    </row>
    <row r="37" spans="1:5" x14ac:dyDescent="0.25">
      <c r="A37" s="5" t="str">
        <v>Serbia</v>
      </c>
      <c r="B37" s="5">
        <v>52</v>
      </c>
      <c r="C37" s="5">
        <v>0</v>
      </c>
      <c r="D37" s="5">
        <v>0</v>
      </c>
      <c r="E37" s="5">
        <v>7</v>
      </c>
    </row>
    <row r="38" spans="1:5" x14ac:dyDescent="0.25">
      <c r="A38" s="5" t="str">
        <v>Croatia</v>
      </c>
      <c r="B38" s="5">
        <v>53</v>
      </c>
      <c r="C38" s="5">
        <v>0</v>
      </c>
      <c r="D38" s="5">
        <v>0</v>
      </c>
      <c r="E38" s="5">
        <v>7</v>
      </c>
    </row>
    <row r="39" spans="1:5" x14ac:dyDescent="0.25">
      <c r="A39" s="5" t="str">
        <v>Ce</v>
      </c>
      <c r="B39" s="5">
        <v>54</v>
      </c>
      <c r="C39" s="5">
        <v>0</v>
      </c>
      <c r="D39" s="5">
        <v>0</v>
      </c>
      <c r="E39" s="5">
        <v>7</v>
      </c>
    </row>
    <row r="40" spans="1:5" x14ac:dyDescent="0.25">
      <c r="A40" s="5" t="str">
        <v>Portugal</v>
      </c>
      <c r="B40" s="5">
        <v>55</v>
      </c>
      <c r="C40" s="5">
        <v>0</v>
      </c>
      <c r="D40" s="5">
        <v>0</v>
      </c>
      <c r="E40" s="5">
        <v>7</v>
      </c>
    </row>
    <row r="41" spans="1:5" x14ac:dyDescent="0.25">
      <c r="A41" s="5" t="str">
        <v>Germany</v>
      </c>
      <c r="B41" s="5">
        <v>56</v>
      </c>
      <c r="C41" s="5">
        <v>0</v>
      </c>
      <c r="D41" s="5">
        <v>0</v>
      </c>
      <c r="E41" s="5">
        <v>7</v>
      </c>
    </row>
    <row r="42" spans="1:5" x14ac:dyDescent="0.25">
      <c r="A42" s="5" t="str">
        <v>England</v>
      </c>
      <c r="B42" s="5">
        <v>434</v>
      </c>
      <c r="C42" s="5">
        <v>44</v>
      </c>
      <c r="D42" s="5" t="str">
        <v>no</v>
      </c>
      <c r="E42" s="5">
        <v>7</v>
      </c>
    </row>
  </sheetData>
  <pageMargins left="0.7" right="0.7" top="0.75" bottom="0.75" header="0.3" footer="0.3"/>
  <pageSetup paperSize="9" scale="51" orientation="portrait" cellComments="atEnd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1DDFC-5C67-482B-928C-7A9EF9D0F47C}">
  <sheetPr codeName="Sheet12">
    <pageSetUpPr fitToPage="1"/>
  </sheetPr>
  <dimension ref="A1:K160"/>
  <sheetViews>
    <sheetView tabSelected="1" workbookViewId="0">
      <pane ySplit="1" topLeftCell="A158" activePane="bottomLeft" state="frozen"/>
      <selection pane="bottomLeft" activeCell="N163" sqref="N163"/>
    </sheetView>
  </sheetViews>
  <sheetFormatPr defaultColWidth="20.42578125" defaultRowHeight="15.75" x14ac:dyDescent="0.25"/>
  <cols>
    <col min="1" max="5" width="20.42578125" style="44"/>
    <col min="6" max="6" width="15.42578125" style="44" customWidth="1"/>
    <col min="7" max="7" width="15.5703125" style="44" customWidth="1"/>
    <col min="8" max="8" width="9" style="44" bestFit="1" customWidth="1"/>
    <col min="9" max="9" width="11.5703125" style="44" bestFit="1" customWidth="1"/>
    <col min="10" max="11" width="7.140625" style="44" bestFit="1" customWidth="1"/>
    <col min="12" max="16384" width="20.42578125" style="44"/>
  </cols>
  <sheetData>
    <row r="1" spans="1:11" s="43" customFormat="1" ht="47.25" customHeight="1" x14ac:dyDescent="0.25">
      <c r="A1" s="42" t="s">
        <v>122</v>
      </c>
      <c r="B1" s="42" t="s">
        <v>1</v>
      </c>
      <c r="C1" s="42" t="s">
        <v>22</v>
      </c>
      <c r="D1" s="42" t="s">
        <v>4</v>
      </c>
      <c r="E1" s="42" t="s">
        <v>123</v>
      </c>
    </row>
    <row r="2" spans="1:11" x14ac:dyDescent="0.25">
      <c r="A2" s="43" t="s">
        <v>124</v>
      </c>
      <c r="B2" s="43">
        <v>30</v>
      </c>
      <c r="C2" s="43">
        <v>44</v>
      </c>
      <c r="D2" s="43" t="s">
        <v>120</v>
      </c>
      <c r="E2" s="43">
        <v>1</v>
      </c>
    </row>
    <row r="3" spans="1:11" x14ac:dyDescent="0.25">
      <c r="A3" s="45" t="s">
        <v>19</v>
      </c>
      <c r="B3" s="45">
        <v>24</v>
      </c>
      <c r="C3" s="45">
        <v>30</v>
      </c>
      <c r="D3" s="45" t="s">
        <v>120</v>
      </c>
      <c r="E3" s="43">
        <v>1</v>
      </c>
      <c r="I3"/>
      <c r="J3"/>
      <c r="K3"/>
    </row>
    <row r="4" spans="1:11" x14ac:dyDescent="0.25">
      <c r="A4" s="45" t="s">
        <v>7</v>
      </c>
      <c r="B4" s="45">
        <v>6</v>
      </c>
      <c r="C4" s="45">
        <v>6</v>
      </c>
      <c r="D4" s="45" t="s">
        <v>121</v>
      </c>
      <c r="E4" s="43">
        <v>1</v>
      </c>
    </row>
    <row r="5" spans="1:11" x14ac:dyDescent="0.25">
      <c r="A5" s="45" t="s">
        <v>15</v>
      </c>
      <c r="B5" s="45">
        <v>20</v>
      </c>
      <c r="C5" s="45">
        <v>20</v>
      </c>
      <c r="D5" s="45" t="s">
        <v>121</v>
      </c>
      <c r="E5" s="43">
        <v>1</v>
      </c>
      <c r="G5" s="51"/>
      <c r="H5" s="51"/>
      <c r="I5" s="51"/>
      <c r="J5"/>
      <c r="K5"/>
    </row>
    <row r="6" spans="1:11" x14ac:dyDescent="0.25">
      <c r="A6" s="45" t="s">
        <v>21</v>
      </c>
      <c r="B6" s="45">
        <v>32</v>
      </c>
      <c r="C6" s="45">
        <v>32</v>
      </c>
      <c r="D6" s="45" t="s">
        <v>121</v>
      </c>
      <c r="E6" s="43">
        <v>1</v>
      </c>
      <c r="G6" s="43"/>
      <c r="H6" s="43"/>
      <c r="I6" s="5"/>
      <c r="J6"/>
      <c r="K6"/>
    </row>
    <row r="7" spans="1:11" x14ac:dyDescent="0.25">
      <c r="A7" s="45" t="s">
        <v>14</v>
      </c>
      <c r="B7" s="45">
        <v>19</v>
      </c>
      <c r="C7" s="45">
        <v>19</v>
      </c>
      <c r="D7" s="45" t="s">
        <v>121</v>
      </c>
      <c r="E7" s="43">
        <v>1</v>
      </c>
      <c r="G7" s="43"/>
      <c r="H7" s="43"/>
      <c r="I7" s="5"/>
      <c r="J7"/>
      <c r="K7"/>
    </row>
    <row r="8" spans="1:11" x14ac:dyDescent="0.25">
      <c r="A8" s="45" t="s">
        <v>8</v>
      </c>
      <c r="B8" s="45">
        <v>7</v>
      </c>
      <c r="C8" s="45">
        <v>7</v>
      </c>
      <c r="D8" s="45" t="s">
        <v>120</v>
      </c>
      <c r="E8" s="43">
        <v>1</v>
      </c>
      <c r="G8" s="43"/>
      <c r="H8" s="43"/>
      <c r="I8" s="5"/>
      <c r="J8"/>
      <c r="K8"/>
    </row>
    <row r="9" spans="1:11" x14ac:dyDescent="0.25">
      <c r="A9" s="45" t="s">
        <v>5</v>
      </c>
      <c r="B9" s="45">
        <v>3</v>
      </c>
      <c r="C9" s="45">
        <v>3</v>
      </c>
      <c r="D9" s="45" t="s">
        <v>121</v>
      </c>
      <c r="E9" s="43">
        <v>1</v>
      </c>
      <c r="G9" s="43"/>
      <c r="H9" s="43"/>
      <c r="I9" s="5"/>
      <c r="J9"/>
      <c r="K9"/>
    </row>
    <row r="10" spans="1:11" x14ac:dyDescent="0.25">
      <c r="A10" s="45" t="s">
        <v>9</v>
      </c>
      <c r="B10" s="45">
        <v>8</v>
      </c>
      <c r="C10" s="45">
        <v>9</v>
      </c>
      <c r="D10" s="45" t="s">
        <v>121</v>
      </c>
      <c r="E10" s="43">
        <v>1</v>
      </c>
      <c r="G10" s="43"/>
      <c r="H10" s="43"/>
      <c r="I10" s="5"/>
      <c r="J10"/>
      <c r="K10"/>
    </row>
    <row r="11" spans="1:11" x14ac:dyDescent="0.25">
      <c r="A11" s="45" t="s">
        <v>20</v>
      </c>
      <c r="B11" s="45">
        <v>31</v>
      </c>
      <c r="C11" s="45">
        <v>31</v>
      </c>
      <c r="D11" s="45" t="s">
        <v>121</v>
      </c>
      <c r="E11" s="43">
        <v>1</v>
      </c>
      <c r="G11" s="43"/>
      <c r="H11" s="43"/>
      <c r="I11" s="5"/>
      <c r="J11"/>
      <c r="K11"/>
    </row>
    <row r="12" spans="1:11" x14ac:dyDescent="0.25">
      <c r="A12" s="45" t="s">
        <v>16</v>
      </c>
      <c r="B12" s="45">
        <v>21</v>
      </c>
      <c r="C12" s="45">
        <v>21</v>
      </c>
      <c r="D12" s="45" t="s">
        <v>121</v>
      </c>
      <c r="E12" s="43">
        <v>1</v>
      </c>
      <c r="G12" s="43"/>
      <c r="H12" s="43"/>
      <c r="I12" s="5"/>
      <c r="J12"/>
      <c r="K12"/>
    </row>
    <row r="13" spans="1:11" x14ac:dyDescent="0.25">
      <c r="A13" s="45" t="s">
        <v>11</v>
      </c>
      <c r="B13" s="45">
        <v>15</v>
      </c>
      <c r="C13" s="45">
        <v>15</v>
      </c>
      <c r="D13" s="45" t="s">
        <v>121</v>
      </c>
      <c r="E13" s="43">
        <v>1</v>
      </c>
      <c r="G13" s="43"/>
      <c r="H13" s="43"/>
      <c r="I13" s="5"/>
      <c r="J13"/>
      <c r="K13"/>
    </row>
    <row r="14" spans="1:11" x14ac:dyDescent="0.25">
      <c r="A14" s="45" t="s">
        <v>17</v>
      </c>
      <c r="B14" s="45">
        <v>22</v>
      </c>
      <c r="C14" s="45">
        <v>22</v>
      </c>
      <c r="D14" s="45" t="s">
        <v>121</v>
      </c>
      <c r="E14" s="43">
        <v>1</v>
      </c>
      <c r="G14" s="43"/>
      <c r="H14" s="43"/>
      <c r="I14" s="5"/>
      <c r="J14"/>
      <c r="K14"/>
    </row>
    <row r="15" spans="1:11" x14ac:dyDescent="0.25">
      <c r="A15" s="45" t="s">
        <v>18</v>
      </c>
      <c r="B15" s="45">
        <v>23</v>
      </c>
      <c r="C15" s="45">
        <v>23</v>
      </c>
      <c r="D15" s="45" t="s">
        <v>121</v>
      </c>
      <c r="E15" s="43">
        <v>1</v>
      </c>
      <c r="G15" s="43"/>
      <c r="H15" s="43"/>
      <c r="I15" s="5"/>
      <c r="J15"/>
      <c r="K15"/>
    </row>
    <row r="16" spans="1:11" x14ac:dyDescent="0.25">
      <c r="A16" s="45" t="s">
        <v>6</v>
      </c>
      <c r="B16" s="45">
        <v>4</v>
      </c>
      <c r="C16" s="45">
        <v>5</v>
      </c>
      <c r="D16" s="45" t="s">
        <v>120</v>
      </c>
      <c r="E16" s="43">
        <v>1</v>
      </c>
      <c r="G16" s="43"/>
      <c r="H16" s="43"/>
      <c r="I16" s="5"/>
      <c r="J16"/>
      <c r="K16"/>
    </row>
    <row r="17" spans="1:11" x14ac:dyDescent="0.25">
      <c r="A17" s="45" t="s">
        <v>12</v>
      </c>
      <c r="B17" s="45">
        <v>16</v>
      </c>
      <c r="C17" s="45">
        <v>17</v>
      </c>
      <c r="D17" s="45" t="s">
        <v>120</v>
      </c>
      <c r="E17" s="43">
        <v>1</v>
      </c>
      <c r="G17" s="43"/>
      <c r="H17" s="43"/>
      <c r="I17" s="5"/>
      <c r="J17"/>
      <c r="K17"/>
    </row>
    <row r="18" spans="1:11" x14ac:dyDescent="0.25">
      <c r="A18" s="45" t="s">
        <v>3</v>
      </c>
      <c r="B18" s="45">
        <v>1</v>
      </c>
      <c r="C18" s="45">
        <v>2</v>
      </c>
      <c r="D18" s="45" t="s">
        <v>120</v>
      </c>
      <c r="E18" s="43">
        <v>1</v>
      </c>
      <c r="G18" s="43"/>
      <c r="H18" s="43"/>
      <c r="I18" s="5"/>
      <c r="J18"/>
      <c r="K18"/>
    </row>
    <row r="19" spans="1:11" x14ac:dyDescent="0.25">
      <c r="A19" s="45" t="s">
        <v>13</v>
      </c>
      <c r="B19" s="45">
        <v>18</v>
      </c>
      <c r="C19" s="45">
        <v>18</v>
      </c>
      <c r="D19" s="45" t="s">
        <v>121</v>
      </c>
      <c r="E19" s="43">
        <v>1</v>
      </c>
      <c r="G19" s="43"/>
      <c r="H19" s="43"/>
      <c r="I19" s="5"/>
      <c r="J19"/>
      <c r="K19"/>
    </row>
    <row r="20" spans="1:11" x14ac:dyDescent="0.25">
      <c r="A20" s="45" t="s">
        <v>10</v>
      </c>
      <c r="B20" s="45">
        <v>10</v>
      </c>
      <c r="C20" s="45">
        <v>14</v>
      </c>
      <c r="D20" s="45" t="s">
        <v>121</v>
      </c>
      <c r="E20" s="43">
        <v>1</v>
      </c>
      <c r="G20" s="43"/>
      <c r="H20" s="43"/>
      <c r="I20" s="5"/>
      <c r="J20"/>
      <c r="K20"/>
    </row>
    <row r="21" spans="1:11" x14ac:dyDescent="0.25">
      <c r="A21" s="5" t="s">
        <v>35</v>
      </c>
      <c r="B21" s="5">
        <v>29</v>
      </c>
      <c r="C21" s="5">
        <v>29</v>
      </c>
      <c r="D21" s="5" t="s">
        <v>120</v>
      </c>
      <c r="E21" s="43">
        <v>2</v>
      </c>
      <c r="G21" s="43"/>
      <c r="H21" s="43"/>
      <c r="I21" s="5"/>
      <c r="J21"/>
      <c r="K21"/>
    </row>
    <row r="22" spans="1:11" x14ac:dyDescent="0.25">
      <c r="A22" s="5" t="s">
        <v>33</v>
      </c>
      <c r="B22" s="5">
        <v>25</v>
      </c>
      <c r="C22" s="5">
        <v>25</v>
      </c>
      <c r="D22" s="5" t="s">
        <v>121</v>
      </c>
      <c r="E22" s="43">
        <v>2</v>
      </c>
      <c r="G22" s="43"/>
      <c r="H22" s="43"/>
      <c r="I22" s="5"/>
      <c r="J22"/>
      <c r="K22"/>
    </row>
    <row r="23" spans="1:11" x14ac:dyDescent="0.25">
      <c r="A23" s="5" t="s">
        <v>26</v>
      </c>
      <c r="B23" s="5">
        <v>11</v>
      </c>
      <c r="C23" s="5">
        <v>13</v>
      </c>
      <c r="D23" s="5" t="s">
        <v>120</v>
      </c>
      <c r="E23" s="43">
        <v>2</v>
      </c>
      <c r="G23" s="43"/>
      <c r="H23" s="43"/>
      <c r="I23" s="5"/>
      <c r="J23"/>
    </row>
    <row r="24" spans="1:11" x14ac:dyDescent="0.25">
      <c r="A24" s="5" t="s">
        <v>27</v>
      </c>
      <c r="B24" s="5">
        <v>14</v>
      </c>
      <c r="C24" s="5">
        <v>14</v>
      </c>
      <c r="D24" s="5" t="s">
        <v>121</v>
      </c>
      <c r="E24" s="43">
        <v>2</v>
      </c>
      <c r="G24" s="43"/>
      <c r="H24" s="43"/>
      <c r="I24" s="5"/>
      <c r="J24"/>
    </row>
    <row r="25" spans="1:11" x14ac:dyDescent="0.25">
      <c r="A25" s="5" t="s">
        <v>31</v>
      </c>
      <c r="B25" s="5">
        <v>20</v>
      </c>
      <c r="C25" s="5">
        <v>20</v>
      </c>
      <c r="D25" s="5" t="s">
        <v>121</v>
      </c>
      <c r="E25" s="43">
        <v>2</v>
      </c>
      <c r="G25" s="43"/>
      <c r="H25" s="43"/>
      <c r="I25" s="5"/>
      <c r="J25"/>
    </row>
    <row r="26" spans="1:11" x14ac:dyDescent="0.25">
      <c r="A26" s="5" t="s">
        <v>34</v>
      </c>
      <c r="B26" s="5">
        <v>26</v>
      </c>
      <c r="C26" s="5">
        <v>28</v>
      </c>
      <c r="D26" s="5" t="s">
        <v>120</v>
      </c>
      <c r="E26" s="43">
        <v>2</v>
      </c>
      <c r="G26" s="43"/>
      <c r="H26" s="43"/>
      <c r="I26" s="5"/>
    </row>
    <row r="27" spans="1:11" x14ac:dyDescent="0.25">
      <c r="A27" s="5" t="s">
        <v>29</v>
      </c>
      <c r="B27" s="5">
        <v>18</v>
      </c>
      <c r="C27" s="5">
        <v>18</v>
      </c>
      <c r="D27" s="5" t="s">
        <v>120</v>
      </c>
      <c r="E27" s="43">
        <v>2</v>
      </c>
      <c r="G27" s="43"/>
      <c r="H27" s="43"/>
      <c r="I27" s="5"/>
    </row>
    <row r="28" spans="1:11" x14ac:dyDescent="0.25">
      <c r="A28" s="5" t="s">
        <v>25</v>
      </c>
      <c r="B28" s="5">
        <v>8</v>
      </c>
      <c r="C28" s="5">
        <v>8</v>
      </c>
      <c r="D28" s="5" t="s">
        <v>120</v>
      </c>
      <c r="E28" s="43">
        <v>2</v>
      </c>
      <c r="G28" s="43"/>
      <c r="H28" s="43"/>
      <c r="I28" s="5"/>
    </row>
    <row r="29" spans="1:11" x14ac:dyDescent="0.25">
      <c r="A29" s="5" t="s">
        <v>60</v>
      </c>
      <c r="B29" s="5">
        <v>10</v>
      </c>
      <c r="C29" s="5">
        <v>10</v>
      </c>
      <c r="D29" s="5" t="s">
        <v>121</v>
      </c>
      <c r="E29" s="43">
        <v>2</v>
      </c>
      <c r="G29" s="43"/>
      <c r="H29" s="43"/>
      <c r="I29" s="5"/>
    </row>
    <row r="30" spans="1:11" x14ac:dyDescent="0.25">
      <c r="A30" s="5" t="s">
        <v>28</v>
      </c>
      <c r="B30" s="5">
        <v>15</v>
      </c>
      <c r="C30" s="5">
        <v>15</v>
      </c>
      <c r="D30" s="5" t="s">
        <v>121</v>
      </c>
      <c r="E30" s="43">
        <v>2</v>
      </c>
      <c r="G30" s="43"/>
      <c r="H30" s="43"/>
      <c r="I30" s="5"/>
    </row>
    <row r="31" spans="1:11" x14ac:dyDescent="0.25">
      <c r="A31" s="5" t="s">
        <v>37</v>
      </c>
      <c r="B31" s="5">
        <v>32</v>
      </c>
      <c r="C31" s="5">
        <v>32</v>
      </c>
      <c r="D31" s="5" t="s">
        <v>121</v>
      </c>
      <c r="E31" s="43">
        <v>2</v>
      </c>
      <c r="H31" s="43"/>
      <c r="I31" s="5"/>
    </row>
    <row r="32" spans="1:11" x14ac:dyDescent="0.25">
      <c r="A32" s="5" t="s">
        <v>36</v>
      </c>
      <c r="B32" s="5">
        <v>31</v>
      </c>
      <c r="C32" s="5">
        <v>31</v>
      </c>
      <c r="D32" s="5" t="s">
        <v>120</v>
      </c>
      <c r="E32" s="43">
        <v>2</v>
      </c>
      <c r="H32" s="43"/>
      <c r="I32" s="5"/>
    </row>
    <row r="33" spans="1:9" x14ac:dyDescent="0.25">
      <c r="A33" s="5" t="s">
        <v>62</v>
      </c>
      <c r="B33" s="5">
        <v>17</v>
      </c>
      <c r="C33" s="5">
        <v>17</v>
      </c>
      <c r="D33" s="5" t="s">
        <v>121</v>
      </c>
      <c r="E33" s="43">
        <v>2</v>
      </c>
      <c r="H33" s="43"/>
      <c r="I33" s="5"/>
    </row>
    <row r="34" spans="1:9" x14ac:dyDescent="0.25">
      <c r="A34" s="5" t="s">
        <v>32</v>
      </c>
      <c r="B34" s="5">
        <v>21</v>
      </c>
      <c r="C34" s="5">
        <v>21</v>
      </c>
      <c r="D34" s="5" t="s">
        <v>121</v>
      </c>
      <c r="E34" s="43">
        <v>2</v>
      </c>
      <c r="H34" s="43"/>
      <c r="I34" s="5"/>
    </row>
    <row r="35" spans="1:9" x14ac:dyDescent="0.25">
      <c r="A35" s="5" t="s">
        <v>24</v>
      </c>
      <c r="B35" s="5">
        <v>5</v>
      </c>
      <c r="C35" s="5">
        <v>5</v>
      </c>
      <c r="D35" s="5" t="s">
        <v>121</v>
      </c>
      <c r="E35" s="43">
        <v>2</v>
      </c>
      <c r="H35" s="43"/>
      <c r="I35" s="5"/>
    </row>
    <row r="36" spans="1:9" x14ac:dyDescent="0.25">
      <c r="A36" s="5" t="s">
        <v>57</v>
      </c>
      <c r="B36" s="5">
        <v>30</v>
      </c>
      <c r="C36" s="5">
        <v>30</v>
      </c>
      <c r="D36" s="5" t="s">
        <v>121</v>
      </c>
      <c r="E36" s="43">
        <v>2</v>
      </c>
    </row>
    <row r="37" spans="1:9" x14ac:dyDescent="0.25">
      <c r="A37" s="5" t="s">
        <v>30</v>
      </c>
      <c r="B37" s="5">
        <v>19</v>
      </c>
      <c r="C37" s="5">
        <v>19</v>
      </c>
      <c r="D37" s="5" t="s">
        <v>121</v>
      </c>
      <c r="E37" s="43">
        <v>2</v>
      </c>
    </row>
    <row r="38" spans="1:9" x14ac:dyDescent="0.25">
      <c r="A38" s="5" t="s">
        <v>59</v>
      </c>
      <c r="B38" s="5">
        <v>9</v>
      </c>
      <c r="C38" s="5">
        <v>9</v>
      </c>
      <c r="D38" s="5" t="s">
        <v>121</v>
      </c>
      <c r="E38" s="43">
        <v>2</v>
      </c>
    </row>
    <row r="39" spans="1:9" x14ac:dyDescent="0.25">
      <c r="A39" s="5" t="s">
        <v>63</v>
      </c>
      <c r="B39" s="5">
        <v>22</v>
      </c>
      <c r="C39" s="5">
        <v>24</v>
      </c>
      <c r="D39" s="5" t="s">
        <v>120</v>
      </c>
      <c r="E39" s="43">
        <v>2</v>
      </c>
    </row>
    <row r="40" spans="1:9" x14ac:dyDescent="0.25">
      <c r="A40" s="5" t="s">
        <v>23</v>
      </c>
      <c r="B40" s="5">
        <v>1</v>
      </c>
      <c r="C40" s="5">
        <v>4</v>
      </c>
      <c r="D40" s="5" t="s">
        <v>120</v>
      </c>
      <c r="E40" s="43">
        <v>2</v>
      </c>
    </row>
    <row r="41" spans="1:9" x14ac:dyDescent="0.25">
      <c r="A41" s="5" t="s">
        <v>58</v>
      </c>
      <c r="B41" s="5">
        <v>6</v>
      </c>
      <c r="C41" s="5">
        <v>7</v>
      </c>
      <c r="D41" s="5" t="s">
        <v>121</v>
      </c>
      <c r="E41" s="43">
        <v>2</v>
      </c>
    </row>
    <row r="42" spans="1:9" x14ac:dyDescent="0.25">
      <c r="A42" s="5" t="s">
        <v>61</v>
      </c>
      <c r="B42" s="5">
        <v>16</v>
      </c>
      <c r="C42" s="5">
        <v>16</v>
      </c>
      <c r="D42" s="5" t="s">
        <v>121</v>
      </c>
      <c r="E42" s="43">
        <v>2</v>
      </c>
    </row>
    <row r="43" spans="1:9" x14ac:dyDescent="0.25">
      <c r="A43" s="5" t="s">
        <v>55</v>
      </c>
      <c r="B43" s="5">
        <v>30</v>
      </c>
      <c r="C43" s="5">
        <v>31</v>
      </c>
      <c r="D43" s="5" t="s">
        <v>120</v>
      </c>
      <c r="E43" s="43">
        <v>3</v>
      </c>
    </row>
    <row r="44" spans="1:9" x14ac:dyDescent="0.25">
      <c r="A44" s="5" t="s">
        <v>48</v>
      </c>
      <c r="B44" s="5">
        <v>2</v>
      </c>
      <c r="C44" s="5">
        <v>2</v>
      </c>
      <c r="D44" s="5" t="s">
        <v>120</v>
      </c>
      <c r="E44" s="43">
        <v>3</v>
      </c>
    </row>
    <row r="45" spans="1:9" x14ac:dyDescent="0.25">
      <c r="A45" s="5" t="s">
        <v>51</v>
      </c>
      <c r="B45" s="5">
        <v>8</v>
      </c>
      <c r="C45" s="5">
        <v>11</v>
      </c>
      <c r="D45" s="5" t="s">
        <v>120</v>
      </c>
      <c r="E45" s="43">
        <v>3</v>
      </c>
    </row>
    <row r="46" spans="1:9" x14ac:dyDescent="0.25">
      <c r="A46" s="5" t="s">
        <v>52</v>
      </c>
      <c r="B46" s="5">
        <v>12</v>
      </c>
      <c r="C46" s="5">
        <v>22</v>
      </c>
      <c r="D46" s="5" t="s">
        <v>120</v>
      </c>
      <c r="E46" s="43">
        <v>3</v>
      </c>
    </row>
    <row r="47" spans="1:9" x14ac:dyDescent="0.25">
      <c r="A47" s="5" t="s">
        <v>54</v>
      </c>
      <c r="B47" s="5">
        <v>28</v>
      </c>
      <c r="C47" s="5">
        <v>29</v>
      </c>
      <c r="D47" s="5" t="s">
        <v>120</v>
      </c>
      <c r="E47" s="43">
        <v>3</v>
      </c>
    </row>
    <row r="48" spans="1:9" x14ac:dyDescent="0.25">
      <c r="A48" s="5" t="s">
        <v>49</v>
      </c>
      <c r="B48" s="5">
        <v>3</v>
      </c>
      <c r="C48" s="5">
        <v>6</v>
      </c>
      <c r="D48" s="5" t="s">
        <v>120</v>
      </c>
      <c r="E48" s="43">
        <v>3</v>
      </c>
    </row>
    <row r="49" spans="1:5" x14ac:dyDescent="0.25">
      <c r="A49" s="5" t="s">
        <v>50</v>
      </c>
      <c r="B49" s="5">
        <v>7</v>
      </c>
      <c r="C49" s="5">
        <v>7</v>
      </c>
      <c r="D49" s="5" t="s">
        <v>121</v>
      </c>
      <c r="E49" s="43">
        <v>3</v>
      </c>
    </row>
    <row r="50" spans="1:5" x14ac:dyDescent="0.25">
      <c r="A50" s="5" t="s">
        <v>47</v>
      </c>
      <c r="B50" s="5">
        <v>1</v>
      </c>
      <c r="C50" s="5">
        <v>1</v>
      </c>
      <c r="D50" s="5" t="s">
        <v>121</v>
      </c>
      <c r="E50" s="43">
        <v>3</v>
      </c>
    </row>
    <row r="51" spans="1:5" x14ac:dyDescent="0.25">
      <c r="A51" s="5" t="s">
        <v>56</v>
      </c>
      <c r="B51" s="5">
        <v>32</v>
      </c>
      <c r="C51" s="5"/>
      <c r="D51" s="5" t="s">
        <v>121</v>
      </c>
      <c r="E51" s="43">
        <v>3</v>
      </c>
    </row>
    <row r="52" spans="1:5" x14ac:dyDescent="0.25">
      <c r="A52" s="5" t="s">
        <v>53</v>
      </c>
      <c r="B52" s="5">
        <v>23</v>
      </c>
      <c r="C52" s="5">
        <v>27</v>
      </c>
      <c r="D52" s="5" t="s">
        <v>120</v>
      </c>
      <c r="E52" s="43">
        <v>3</v>
      </c>
    </row>
    <row r="53" spans="1:5" x14ac:dyDescent="0.25">
      <c r="A53" s="5" t="s">
        <v>42</v>
      </c>
      <c r="B53" s="5">
        <v>32</v>
      </c>
      <c r="C53" s="5">
        <v>32</v>
      </c>
      <c r="D53" s="5" t="s">
        <v>120</v>
      </c>
      <c r="E53" s="43">
        <v>4</v>
      </c>
    </row>
    <row r="54" spans="1:5" x14ac:dyDescent="0.25">
      <c r="A54" s="5" t="s">
        <v>40</v>
      </c>
      <c r="B54" s="5">
        <v>30</v>
      </c>
      <c r="C54" s="5">
        <v>30</v>
      </c>
      <c r="D54" s="5" t="s">
        <v>121</v>
      </c>
      <c r="E54" s="43">
        <v>4</v>
      </c>
    </row>
    <row r="55" spans="1:5" x14ac:dyDescent="0.25">
      <c r="A55" s="5" t="s">
        <v>44</v>
      </c>
      <c r="B55" s="5">
        <v>6</v>
      </c>
      <c r="C55" s="5">
        <v>6</v>
      </c>
      <c r="D55" s="5" t="s">
        <v>120</v>
      </c>
      <c r="E55" s="43">
        <v>4</v>
      </c>
    </row>
    <row r="56" spans="1:5" x14ac:dyDescent="0.25">
      <c r="A56" s="5" t="s">
        <v>38</v>
      </c>
      <c r="B56" s="5">
        <v>18</v>
      </c>
      <c r="C56" s="5">
        <v>28</v>
      </c>
      <c r="D56" s="5" t="s">
        <v>120</v>
      </c>
      <c r="E56" s="43">
        <v>4</v>
      </c>
    </row>
    <row r="57" spans="1:5" x14ac:dyDescent="0.25">
      <c r="A57" s="5" t="s">
        <v>45</v>
      </c>
      <c r="B57" s="5">
        <v>7</v>
      </c>
      <c r="C57" s="5">
        <v>7</v>
      </c>
      <c r="D57" s="5" t="s">
        <v>121</v>
      </c>
      <c r="E57" s="43">
        <v>4</v>
      </c>
    </row>
    <row r="58" spans="1:5" x14ac:dyDescent="0.25">
      <c r="A58" s="5" t="s">
        <v>46</v>
      </c>
      <c r="B58" s="5">
        <v>8</v>
      </c>
      <c r="C58" s="5">
        <v>9</v>
      </c>
      <c r="D58" s="5" t="s">
        <v>120</v>
      </c>
      <c r="E58" s="43">
        <v>4</v>
      </c>
    </row>
    <row r="59" spans="1:5" x14ac:dyDescent="0.25">
      <c r="A59" s="5" t="s">
        <v>43</v>
      </c>
      <c r="B59" s="5">
        <v>1</v>
      </c>
      <c r="C59" s="5">
        <v>5</v>
      </c>
      <c r="D59" s="5" t="s">
        <v>120</v>
      </c>
      <c r="E59" s="43">
        <v>4</v>
      </c>
    </row>
    <row r="60" spans="1:5" x14ac:dyDescent="0.25">
      <c r="A60" s="5" t="s">
        <v>6</v>
      </c>
      <c r="B60" s="5">
        <v>10</v>
      </c>
      <c r="C60" s="5">
        <v>17</v>
      </c>
      <c r="D60" s="5" t="s">
        <v>120</v>
      </c>
      <c r="E60" s="43">
        <v>4</v>
      </c>
    </row>
    <row r="61" spans="1:5" x14ac:dyDescent="0.25">
      <c r="A61" s="5" t="s">
        <v>39</v>
      </c>
      <c r="B61" s="5">
        <v>29</v>
      </c>
      <c r="C61" s="5">
        <v>29</v>
      </c>
      <c r="D61" s="5" t="s">
        <v>121</v>
      </c>
      <c r="E61" s="43">
        <v>4</v>
      </c>
    </row>
    <row r="62" spans="1:5" x14ac:dyDescent="0.25">
      <c r="A62" s="5" t="s">
        <v>41</v>
      </c>
      <c r="B62" s="5">
        <v>31</v>
      </c>
      <c r="C62" s="5">
        <v>31</v>
      </c>
      <c r="D62" s="5" t="s">
        <v>121</v>
      </c>
      <c r="E62" s="43">
        <v>4</v>
      </c>
    </row>
    <row r="63" spans="1:5" x14ac:dyDescent="0.25">
      <c r="A63" s="5" t="s">
        <v>55</v>
      </c>
      <c r="B63" s="5">
        <v>31</v>
      </c>
      <c r="C63" s="5">
        <v>31</v>
      </c>
      <c r="D63" s="5" t="s">
        <v>121</v>
      </c>
      <c r="E63" s="43">
        <v>5</v>
      </c>
    </row>
    <row r="64" spans="1:5" x14ac:dyDescent="0.25">
      <c r="A64" s="5" t="s">
        <v>74</v>
      </c>
      <c r="B64" s="5">
        <v>5</v>
      </c>
      <c r="C64" s="5">
        <v>7</v>
      </c>
      <c r="D64" s="5" t="s">
        <v>120</v>
      </c>
      <c r="E64" s="43">
        <v>5</v>
      </c>
    </row>
    <row r="65" spans="1:5" x14ac:dyDescent="0.25">
      <c r="A65" s="5" t="s">
        <v>69</v>
      </c>
      <c r="B65" s="5">
        <v>24</v>
      </c>
      <c r="C65" s="5">
        <v>24</v>
      </c>
      <c r="D65" s="5" t="s">
        <v>121</v>
      </c>
      <c r="E65" s="43">
        <v>5</v>
      </c>
    </row>
    <row r="66" spans="1:5" x14ac:dyDescent="0.25">
      <c r="A66" s="5" t="s">
        <v>44</v>
      </c>
      <c r="B66" s="5">
        <v>27</v>
      </c>
      <c r="C66" s="5">
        <v>27</v>
      </c>
      <c r="D66" s="5" t="s">
        <v>121</v>
      </c>
      <c r="E66" s="43">
        <v>5</v>
      </c>
    </row>
    <row r="67" spans="1:5" x14ac:dyDescent="0.25">
      <c r="A67" s="5" t="s">
        <v>75</v>
      </c>
      <c r="B67" s="5">
        <v>8</v>
      </c>
      <c r="C67" s="5">
        <v>10</v>
      </c>
      <c r="D67" s="5" t="s">
        <v>120</v>
      </c>
      <c r="E67" s="43">
        <v>5</v>
      </c>
    </row>
    <row r="68" spans="1:5" x14ac:dyDescent="0.25">
      <c r="A68" s="5" t="s">
        <v>77</v>
      </c>
      <c r="B68" s="5">
        <v>12</v>
      </c>
      <c r="C68" s="5">
        <v>12</v>
      </c>
      <c r="D68" s="5" t="s">
        <v>121</v>
      </c>
      <c r="E68" s="43">
        <v>5</v>
      </c>
    </row>
    <row r="69" spans="1:5" x14ac:dyDescent="0.25">
      <c r="A69" s="5" t="s">
        <v>76</v>
      </c>
      <c r="B69" s="5">
        <v>11</v>
      </c>
      <c r="C69" s="5">
        <v>11</v>
      </c>
      <c r="D69" s="5" t="s">
        <v>121</v>
      </c>
      <c r="E69" s="43">
        <v>5</v>
      </c>
    </row>
    <row r="70" spans="1:5" x14ac:dyDescent="0.25">
      <c r="A70" s="5" t="s">
        <v>72</v>
      </c>
      <c r="B70" s="5">
        <v>28</v>
      </c>
      <c r="C70" s="5">
        <v>28</v>
      </c>
      <c r="D70" s="5" t="s">
        <v>121</v>
      </c>
      <c r="E70" s="43">
        <v>5</v>
      </c>
    </row>
    <row r="71" spans="1:5" x14ac:dyDescent="0.25">
      <c r="A71" s="5" t="s">
        <v>83</v>
      </c>
      <c r="B71" s="5">
        <v>18</v>
      </c>
      <c r="C71" s="5">
        <v>18</v>
      </c>
      <c r="D71" s="5" t="s">
        <v>121</v>
      </c>
      <c r="E71" s="43">
        <v>5</v>
      </c>
    </row>
    <row r="72" spans="1:5" x14ac:dyDescent="0.25">
      <c r="A72" s="5" t="s">
        <v>66</v>
      </c>
      <c r="B72" s="5">
        <v>21</v>
      </c>
      <c r="C72" s="5">
        <v>21</v>
      </c>
      <c r="D72" s="5" t="s">
        <v>121</v>
      </c>
      <c r="E72" s="43">
        <v>5</v>
      </c>
    </row>
    <row r="73" spans="1:5" x14ac:dyDescent="0.25">
      <c r="A73" s="5" t="s">
        <v>71</v>
      </c>
      <c r="B73" s="5">
        <v>26</v>
      </c>
      <c r="C73" s="5">
        <v>26</v>
      </c>
      <c r="D73" s="5" t="s">
        <v>121</v>
      </c>
      <c r="E73" s="43">
        <v>5</v>
      </c>
    </row>
    <row r="74" spans="1:5" x14ac:dyDescent="0.25">
      <c r="A74" s="5" t="s">
        <v>79</v>
      </c>
      <c r="B74" s="5">
        <v>14</v>
      </c>
      <c r="C74" s="5">
        <v>14</v>
      </c>
      <c r="D74" s="5" t="s">
        <v>121</v>
      </c>
      <c r="E74" s="43">
        <v>5</v>
      </c>
    </row>
    <row r="75" spans="1:5" x14ac:dyDescent="0.25">
      <c r="A75" s="5" t="s">
        <v>67</v>
      </c>
      <c r="B75" s="5">
        <v>22</v>
      </c>
      <c r="C75" s="5">
        <v>22</v>
      </c>
      <c r="D75" s="5" t="s">
        <v>121</v>
      </c>
      <c r="E75" s="43">
        <v>5</v>
      </c>
    </row>
    <row r="76" spans="1:5" x14ac:dyDescent="0.25">
      <c r="A76" s="5" t="s">
        <v>80</v>
      </c>
      <c r="B76" s="5">
        <v>15</v>
      </c>
      <c r="C76" s="5">
        <v>15</v>
      </c>
      <c r="D76" s="5" t="s">
        <v>121</v>
      </c>
      <c r="E76" s="43">
        <v>5</v>
      </c>
    </row>
    <row r="77" spans="1:5" x14ac:dyDescent="0.25">
      <c r="A77" s="5" t="s">
        <v>68</v>
      </c>
      <c r="B77" s="5">
        <v>23</v>
      </c>
      <c r="C77" s="5">
        <v>23</v>
      </c>
      <c r="D77" s="5" t="s">
        <v>120</v>
      </c>
      <c r="E77" s="43">
        <v>5</v>
      </c>
    </row>
    <row r="78" spans="1:5" x14ac:dyDescent="0.25">
      <c r="A78" s="5" t="s">
        <v>84</v>
      </c>
      <c r="B78" s="5">
        <v>19</v>
      </c>
      <c r="C78" s="5">
        <v>19</v>
      </c>
      <c r="D78" s="5" t="s">
        <v>121</v>
      </c>
      <c r="E78" s="43">
        <v>5</v>
      </c>
    </row>
    <row r="79" spans="1:5" x14ac:dyDescent="0.25">
      <c r="A79" s="5" t="s">
        <v>85</v>
      </c>
      <c r="B79" s="5">
        <v>20</v>
      </c>
      <c r="C79" s="5">
        <v>20</v>
      </c>
      <c r="D79" s="5" t="s">
        <v>120</v>
      </c>
      <c r="E79" s="43">
        <v>5</v>
      </c>
    </row>
    <row r="80" spans="1:5" x14ac:dyDescent="0.25">
      <c r="A80" s="5" t="s">
        <v>81</v>
      </c>
      <c r="B80" s="5">
        <v>16</v>
      </c>
      <c r="C80" s="5">
        <v>16</v>
      </c>
      <c r="D80" s="5" t="s">
        <v>120</v>
      </c>
      <c r="E80" s="43">
        <v>5</v>
      </c>
    </row>
    <row r="81" spans="1:5" x14ac:dyDescent="0.25">
      <c r="A81" s="5" t="s">
        <v>70</v>
      </c>
      <c r="B81" s="5">
        <v>25</v>
      </c>
      <c r="C81" s="5">
        <v>25</v>
      </c>
      <c r="D81" s="5" t="s">
        <v>121</v>
      </c>
      <c r="E81" s="43">
        <v>5</v>
      </c>
    </row>
    <row r="82" spans="1:5" x14ac:dyDescent="0.25">
      <c r="A82" s="5" t="s">
        <v>64</v>
      </c>
      <c r="B82" s="5">
        <v>29</v>
      </c>
      <c r="C82" s="5">
        <v>30</v>
      </c>
      <c r="D82" s="5" t="s">
        <v>121</v>
      </c>
      <c r="E82" s="43">
        <v>5</v>
      </c>
    </row>
    <row r="83" spans="1:5" x14ac:dyDescent="0.25">
      <c r="A83" s="5" t="s">
        <v>73</v>
      </c>
      <c r="B83" s="5">
        <v>1</v>
      </c>
      <c r="C83" s="5">
        <v>4</v>
      </c>
      <c r="D83" s="5" t="s">
        <v>120</v>
      </c>
      <c r="E83" s="43">
        <v>5</v>
      </c>
    </row>
    <row r="84" spans="1:5" x14ac:dyDescent="0.25">
      <c r="A84" s="5" t="s">
        <v>65</v>
      </c>
      <c r="B84" s="5">
        <v>32</v>
      </c>
      <c r="C84" s="5">
        <v>32</v>
      </c>
      <c r="D84" s="5" t="s">
        <v>121</v>
      </c>
      <c r="E84" s="43">
        <v>5</v>
      </c>
    </row>
    <row r="85" spans="1:5" x14ac:dyDescent="0.25">
      <c r="A85" s="5" t="s">
        <v>78</v>
      </c>
      <c r="B85" s="5">
        <v>13</v>
      </c>
      <c r="C85" s="5">
        <v>13</v>
      </c>
      <c r="D85" s="5" t="s">
        <v>121</v>
      </c>
      <c r="E85" s="43">
        <v>5</v>
      </c>
    </row>
    <row r="86" spans="1:5" x14ac:dyDescent="0.25">
      <c r="A86" s="5" t="s">
        <v>82</v>
      </c>
      <c r="B86" s="5">
        <v>17</v>
      </c>
      <c r="C86" s="5">
        <v>17</v>
      </c>
      <c r="D86" s="5" t="s">
        <v>120</v>
      </c>
      <c r="E86" s="43">
        <v>5</v>
      </c>
    </row>
    <row r="87" spans="1:5" x14ac:dyDescent="0.25">
      <c r="A87" s="5" t="s">
        <v>42</v>
      </c>
      <c r="B87" s="5">
        <v>26</v>
      </c>
      <c r="C87" s="5">
        <v>26</v>
      </c>
      <c r="D87" s="5" t="s">
        <v>121</v>
      </c>
      <c r="E87" s="43">
        <v>6</v>
      </c>
    </row>
    <row r="88" spans="1:5" x14ac:dyDescent="0.25">
      <c r="A88" s="5" t="s">
        <v>42</v>
      </c>
      <c r="B88" s="5">
        <v>29</v>
      </c>
      <c r="C88" s="5">
        <v>30</v>
      </c>
      <c r="D88" s="5" t="s">
        <v>120</v>
      </c>
      <c r="E88" s="43">
        <v>6</v>
      </c>
    </row>
    <row r="89" spans="1:5" x14ac:dyDescent="0.25">
      <c r="A89" s="5" t="s">
        <v>42</v>
      </c>
      <c r="B89" s="5">
        <v>32</v>
      </c>
      <c r="C89" s="5">
        <v>32</v>
      </c>
      <c r="D89" s="5" t="s">
        <v>121</v>
      </c>
      <c r="E89" s="43">
        <v>6</v>
      </c>
    </row>
    <row r="90" spans="1:5" x14ac:dyDescent="0.25">
      <c r="A90" s="5" t="s">
        <v>74</v>
      </c>
      <c r="B90" s="5">
        <v>24</v>
      </c>
      <c r="C90" s="5">
        <v>24</v>
      </c>
      <c r="D90" s="5" t="s">
        <v>121</v>
      </c>
      <c r="E90" s="43">
        <v>6</v>
      </c>
    </row>
    <row r="91" spans="1:5" x14ac:dyDescent="0.25">
      <c r="A91" s="5" t="s">
        <v>75</v>
      </c>
      <c r="B91" s="5">
        <v>22</v>
      </c>
      <c r="C91" s="5">
        <v>22</v>
      </c>
      <c r="D91" s="5" t="s">
        <v>121</v>
      </c>
      <c r="E91" s="43">
        <v>6</v>
      </c>
    </row>
    <row r="92" spans="1:5" x14ac:dyDescent="0.25">
      <c r="A92" s="5" t="s">
        <v>26</v>
      </c>
      <c r="B92" s="5">
        <v>31</v>
      </c>
      <c r="C92" s="5">
        <v>31</v>
      </c>
      <c r="D92" s="5" t="s">
        <v>120</v>
      </c>
      <c r="E92" s="43">
        <v>6</v>
      </c>
    </row>
    <row r="93" spans="1:5" x14ac:dyDescent="0.25">
      <c r="A93" s="5" t="s">
        <v>21</v>
      </c>
      <c r="B93" s="5">
        <v>9</v>
      </c>
      <c r="C93" s="5">
        <v>9</v>
      </c>
      <c r="D93" s="5" t="s">
        <v>121</v>
      </c>
      <c r="E93" s="43">
        <v>6</v>
      </c>
    </row>
    <row r="94" spans="1:5" x14ac:dyDescent="0.25">
      <c r="A94" s="5" t="s">
        <v>48</v>
      </c>
      <c r="B94" s="5">
        <v>17</v>
      </c>
      <c r="C94" s="5">
        <v>17</v>
      </c>
      <c r="D94" s="5" t="s">
        <v>120</v>
      </c>
      <c r="E94" s="43">
        <v>6</v>
      </c>
    </row>
    <row r="95" spans="1:5" x14ac:dyDescent="0.25">
      <c r="A95" s="5" t="s">
        <v>48</v>
      </c>
      <c r="B95" s="5">
        <v>25</v>
      </c>
      <c r="C95" s="5">
        <v>25</v>
      </c>
      <c r="D95" s="5" t="s">
        <v>121</v>
      </c>
      <c r="E95" s="43">
        <v>6</v>
      </c>
    </row>
    <row r="96" spans="1:5" x14ac:dyDescent="0.25">
      <c r="A96" s="5" t="s">
        <v>38</v>
      </c>
      <c r="B96" s="5">
        <v>1</v>
      </c>
      <c r="C96" s="5">
        <v>2</v>
      </c>
      <c r="D96" s="5" t="s">
        <v>120</v>
      </c>
      <c r="E96" s="43">
        <v>6</v>
      </c>
    </row>
    <row r="97" spans="1:5" x14ac:dyDescent="0.25">
      <c r="A97" s="5" t="s">
        <v>38</v>
      </c>
      <c r="B97" s="5">
        <v>10</v>
      </c>
      <c r="C97" s="5">
        <v>10</v>
      </c>
      <c r="D97" s="5" t="s">
        <v>121</v>
      </c>
      <c r="E97" s="43">
        <v>6</v>
      </c>
    </row>
    <row r="98" spans="1:5" x14ac:dyDescent="0.25">
      <c r="A98" s="5" t="s">
        <v>88</v>
      </c>
      <c r="B98" s="5">
        <v>19</v>
      </c>
      <c r="C98" s="5">
        <v>19</v>
      </c>
      <c r="D98" s="5" t="s">
        <v>121</v>
      </c>
      <c r="E98" s="43">
        <v>6</v>
      </c>
    </row>
    <row r="99" spans="1:5" x14ac:dyDescent="0.25">
      <c r="A99" s="5" t="s">
        <v>87</v>
      </c>
      <c r="B99" s="5">
        <v>15</v>
      </c>
      <c r="C99" s="5">
        <v>15</v>
      </c>
      <c r="D99" s="5" t="s">
        <v>120</v>
      </c>
      <c r="E99" s="43">
        <v>6</v>
      </c>
    </row>
    <row r="100" spans="1:5" x14ac:dyDescent="0.25">
      <c r="A100" s="5" t="s">
        <v>49</v>
      </c>
      <c r="B100" s="5">
        <v>16</v>
      </c>
      <c r="C100" s="5">
        <v>16</v>
      </c>
      <c r="D100" s="5" t="s">
        <v>120</v>
      </c>
      <c r="E100" s="43">
        <v>6</v>
      </c>
    </row>
    <row r="101" spans="1:5" x14ac:dyDescent="0.25">
      <c r="A101" s="5" t="s">
        <v>46</v>
      </c>
      <c r="B101" s="5">
        <v>8</v>
      </c>
      <c r="C101" s="5">
        <v>8</v>
      </c>
      <c r="D101" s="5" t="s">
        <v>121</v>
      </c>
      <c r="E101" s="43">
        <v>6</v>
      </c>
    </row>
    <row r="102" spans="1:5" x14ac:dyDescent="0.25">
      <c r="A102" s="5" t="s">
        <v>36</v>
      </c>
      <c r="B102" s="5">
        <v>12</v>
      </c>
      <c r="C102" s="5">
        <v>12</v>
      </c>
      <c r="D102" s="5" t="s">
        <v>120</v>
      </c>
      <c r="E102" s="43">
        <v>6</v>
      </c>
    </row>
    <row r="103" spans="1:5" x14ac:dyDescent="0.25">
      <c r="A103" s="5" t="s">
        <v>36</v>
      </c>
      <c r="B103" s="5">
        <v>21</v>
      </c>
      <c r="C103" s="5">
        <v>21</v>
      </c>
      <c r="D103" s="5" t="s">
        <v>121</v>
      </c>
      <c r="E103" s="43">
        <v>6</v>
      </c>
    </row>
    <row r="104" spans="1:5" x14ac:dyDescent="0.25">
      <c r="A104" s="5" t="s">
        <v>43</v>
      </c>
      <c r="B104" s="5">
        <v>3</v>
      </c>
      <c r="C104" s="5">
        <v>5</v>
      </c>
      <c r="D104" s="5" t="s">
        <v>121</v>
      </c>
      <c r="E104" s="43">
        <v>6</v>
      </c>
    </row>
    <row r="105" spans="1:5" x14ac:dyDescent="0.25">
      <c r="A105" s="5" t="s">
        <v>12</v>
      </c>
      <c r="B105" s="5">
        <v>14</v>
      </c>
      <c r="C105" s="5">
        <v>14</v>
      </c>
      <c r="D105" s="5" t="s">
        <v>121</v>
      </c>
      <c r="E105" s="43">
        <v>6</v>
      </c>
    </row>
    <row r="106" spans="1:5" x14ac:dyDescent="0.25">
      <c r="A106" s="5" t="s">
        <v>12</v>
      </c>
      <c r="B106" s="5">
        <v>23</v>
      </c>
      <c r="C106" s="5">
        <v>23</v>
      </c>
      <c r="D106" s="5" t="s">
        <v>121</v>
      </c>
      <c r="E106" s="43">
        <v>6</v>
      </c>
    </row>
    <row r="107" spans="1:5" x14ac:dyDescent="0.25">
      <c r="A107" s="5" t="s">
        <v>3</v>
      </c>
      <c r="B107" s="5">
        <v>13</v>
      </c>
      <c r="C107" s="5">
        <v>13</v>
      </c>
      <c r="D107" s="5" t="s">
        <v>120</v>
      </c>
      <c r="E107" s="43">
        <v>6</v>
      </c>
    </row>
    <row r="108" spans="1:5" x14ac:dyDescent="0.25">
      <c r="A108" s="5" t="s">
        <v>3</v>
      </c>
      <c r="B108" s="5">
        <v>27</v>
      </c>
      <c r="C108" s="5">
        <v>28</v>
      </c>
      <c r="D108" s="5" t="s">
        <v>120</v>
      </c>
      <c r="E108" s="43">
        <v>6</v>
      </c>
    </row>
    <row r="109" spans="1:5" x14ac:dyDescent="0.25">
      <c r="A109" s="5" t="s">
        <v>63</v>
      </c>
      <c r="B109" s="5">
        <v>18</v>
      </c>
      <c r="C109" s="5">
        <v>18</v>
      </c>
      <c r="D109" s="5" t="s">
        <v>121</v>
      </c>
      <c r="E109" s="43">
        <v>6</v>
      </c>
    </row>
    <row r="110" spans="1:5" x14ac:dyDescent="0.25">
      <c r="A110" s="5" t="s">
        <v>23</v>
      </c>
      <c r="B110" s="5">
        <v>6</v>
      </c>
      <c r="C110" s="5">
        <v>7</v>
      </c>
      <c r="D110" s="5" t="s">
        <v>120</v>
      </c>
      <c r="E110" s="43">
        <v>6</v>
      </c>
    </row>
    <row r="111" spans="1:5" x14ac:dyDescent="0.25">
      <c r="A111" s="5" t="s">
        <v>86</v>
      </c>
      <c r="B111" s="5">
        <v>11</v>
      </c>
      <c r="C111" s="5">
        <v>11</v>
      </c>
      <c r="D111" s="5" t="s">
        <v>121</v>
      </c>
      <c r="E111" s="43">
        <v>6</v>
      </c>
    </row>
    <row r="112" spans="1:5" x14ac:dyDescent="0.25">
      <c r="A112" s="5" t="s">
        <v>82</v>
      </c>
      <c r="B112" s="5">
        <v>20</v>
      </c>
      <c r="C112" s="5">
        <v>20</v>
      </c>
      <c r="D112" s="5" t="s">
        <v>121</v>
      </c>
      <c r="E112" s="43">
        <v>6</v>
      </c>
    </row>
    <row r="113" spans="1:5" x14ac:dyDescent="0.25">
      <c r="A113" s="5" t="s">
        <v>19</v>
      </c>
      <c r="B113" s="5">
        <v>1</v>
      </c>
      <c r="C113" s="5">
        <v>2</v>
      </c>
      <c r="D113" s="5" t="s">
        <v>121</v>
      </c>
      <c r="E113" s="43">
        <v>7</v>
      </c>
    </row>
    <row r="114" spans="1:5" x14ac:dyDescent="0.25">
      <c r="A114" s="5" t="s">
        <v>110</v>
      </c>
      <c r="B114" s="5">
        <v>27</v>
      </c>
      <c r="C114" s="5">
        <v>27</v>
      </c>
      <c r="D114" s="5" t="s">
        <v>121</v>
      </c>
      <c r="E114" s="43">
        <v>7</v>
      </c>
    </row>
    <row r="115" spans="1:5" x14ac:dyDescent="0.25">
      <c r="A115" s="5" t="s">
        <v>119</v>
      </c>
      <c r="B115" s="5">
        <v>54</v>
      </c>
      <c r="C115" s="5"/>
      <c r="D115" s="5"/>
      <c r="E115" s="43">
        <v>7</v>
      </c>
    </row>
    <row r="116" spans="1:5" x14ac:dyDescent="0.25">
      <c r="A116" s="5" t="s">
        <v>116</v>
      </c>
      <c r="B116" s="5">
        <v>53</v>
      </c>
      <c r="C116" s="5"/>
      <c r="D116" s="5"/>
      <c r="E116" s="43">
        <v>7</v>
      </c>
    </row>
    <row r="117" spans="1:5" x14ac:dyDescent="0.25">
      <c r="A117" s="5" t="s">
        <v>109</v>
      </c>
      <c r="B117" s="5">
        <v>16</v>
      </c>
      <c r="C117" s="5">
        <v>16</v>
      </c>
      <c r="D117" s="5" t="s">
        <v>120</v>
      </c>
      <c r="E117" s="43">
        <v>7</v>
      </c>
    </row>
    <row r="118" spans="1:5" x14ac:dyDescent="0.25">
      <c r="A118" s="5" t="s">
        <v>109</v>
      </c>
      <c r="B118" s="5">
        <v>38</v>
      </c>
      <c r="C118" s="5">
        <v>38</v>
      </c>
      <c r="D118" s="5"/>
      <c r="E118" s="43">
        <v>7</v>
      </c>
    </row>
    <row r="119" spans="1:5" x14ac:dyDescent="0.25">
      <c r="A119" s="5" t="s">
        <v>114</v>
      </c>
      <c r="B119" s="5">
        <v>36</v>
      </c>
      <c r="C119" s="5">
        <v>36</v>
      </c>
      <c r="D119" s="5"/>
      <c r="E119" s="43">
        <v>7</v>
      </c>
    </row>
    <row r="120" spans="1:5" x14ac:dyDescent="0.25">
      <c r="A120" s="5" t="s">
        <v>34</v>
      </c>
      <c r="B120" s="5">
        <v>20</v>
      </c>
      <c r="C120" s="5">
        <v>20</v>
      </c>
      <c r="D120" s="5" t="s">
        <v>121</v>
      </c>
      <c r="E120" s="43">
        <v>7</v>
      </c>
    </row>
    <row r="121" spans="1:5" x14ac:dyDescent="0.25">
      <c r="A121" s="43" t="s">
        <v>126</v>
      </c>
      <c r="B121" s="43">
        <v>434</v>
      </c>
      <c r="C121" s="43">
        <v>44</v>
      </c>
      <c r="D121" s="43" t="s">
        <v>127</v>
      </c>
      <c r="E121" s="43">
        <v>7</v>
      </c>
    </row>
    <row r="122" spans="1:5" x14ac:dyDescent="0.25">
      <c r="A122" s="5" t="s">
        <v>92</v>
      </c>
      <c r="B122" s="5">
        <v>11</v>
      </c>
      <c r="C122" s="5">
        <v>12</v>
      </c>
      <c r="D122" s="5" t="s">
        <v>120</v>
      </c>
      <c r="E122" s="43">
        <v>7</v>
      </c>
    </row>
    <row r="123" spans="1:5" x14ac:dyDescent="0.25">
      <c r="A123" s="5" t="s">
        <v>92</v>
      </c>
      <c r="B123" s="5">
        <v>21</v>
      </c>
      <c r="C123" s="5">
        <v>21</v>
      </c>
      <c r="D123" s="5" t="s">
        <v>121</v>
      </c>
      <c r="E123" s="43">
        <v>7</v>
      </c>
    </row>
    <row r="124" spans="1:5" x14ac:dyDescent="0.25">
      <c r="A124" s="5" t="s">
        <v>38</v>
      </c>
      <c r="B124" s="5">
        <v>22</v>
      </c>
      <c r="C124" s="5">
        <v>22</v>
      </c>
      <c r="D124" s="5" t="s">
        <v>120</v>
      </c>
      <c r="E124" s="43">
        <v>7</v>
      </c>
    </row>
    <row r="125" spans="1:5" x14ac:dyDescent="0.25">
      <c r="A125" s="5" t="s">
        <v>38</v>
      </c>
      <c r="B125" s="5">
        <v>56</v>
      </c>
      <c r="C125" s="5"/>
      <c r="D125" s="5"/>
      <c r="E125" s="43">
        <v>7</v>
      </c>
    </row>
    <row r="126" spans="1:5" x14ac:dyDescent="0.25">
      <c r="A126" s="5" t="s">
        <v>87</v>
      </c>
      <c r="B126" s="5">
        <v>18</v>
      </c>
      <c r="C126" s="5">
        <v>18</v>
      </c>
      <c r="D126" s="5" t="s">
        <v>121</v>
      </c>
      <c r="E126" s="43">
        <v>7</v>
      </c>
    </row>
    <row r="127" spans="1:5" x14ac:dyDescent="0.25">
      <c r="A127" s="5" t="s">
        <v>25</v>
      </c>
      <c r="B127" s="5">
        <v>40</v>
      </c>
      <c r="C127" s="5">
        <v>40</v>
      </c>
      <c r="D127" s="5"/>
      <c r="E127" s="43">
        <v>7</v>
      </c>
    </row>
    <row r="128" spans="1:5" x14ac:dyDescent="0.25">
      <c r="A128" s="5" t="s">
        <v>96</v>
      </c>
      <c r="B128" s="5">
        <v>26</v>
      </c>
      <c r="C128" s="5">
        <v>26</v>
      </c>
      <c r="D128" s="5" t="s">
        <v>121</v>
      </c>
      <c r="E128" s="43">
        <v>7</v>
      </c>
    </row>
    <row r="129" spans="1:5" x14ac:dyDescent="0.25">
      <c r="A129" s="5" t="s">
        <v>89</v>
      </c>
      <c r="B129" s="5">
        <v>23</v>
      </c>
      <c r="C129" s="5">
        <v>23</v>
      </c>
      <c r="D129" s="5" t="s">
        <v>121</v>
      </c>
      <c r="E129" s="43">
        <v>7</v>
      </c>
    </row>
    <row r="130" spans="1:5" x14ac:dyDescent="0.25">
      <c r="A130" s="5" t="s">
        <v>54</v>
      </c>
      <c r="B130" s="5">
        <v>9</v>
      </c>
      <c r="C130" s="5">
        <v>9</v>
      </c>
      <c r="D130" s="5" t="s">
        <v>121</v>
      </c>
      <c r="E130" s="43">
        <v>7</v>
      </c>
    </row>
    <row r="131" spans="1:5" x14ac:dyDescent="0.25">
      <c r="A131" s="5" t="s">
        <v>49</v>
      </c>
      <c r="B131" s="5">
        <v>7</v>
      </c>
      <c r="C131" s="5">
        <v>8</v>
      </c>
      <c r="D131" s="5" t="s">
        <v>120</v>
      </c>
      <c r="E131" s="43">
        <v>7</v>
      </c>
    </row>
    <row r="132" spans="1:5" x14ac:dyDescent="0.25">
      <c r="A132" s="5" t="s">
        <v>49</v>
      </c>
      <c r="B132" s="5">
        <v>39</v>
      </c>
      <c r="C132" s="5">
        <v>39</v>
      </c>
      <c r="D132" s="5"/>
      <c r="E132" s="43">
        <v>7</v>
      </c>
    </row>
    <row r="133" spans="1:5" x14ac:dyDescent="0.25">
      <c r="A133" s="5" t="s">
        <v>90</v>
      </c>
      <c r="B133" s="5">
        <v>24</v>
      </c>
      <c r="C133" s="5">
        <v>24</v>
      </c>
      <c r="D133" s="5" t="s">
        <v>121</v>
      </c>
      <c r="E133" s="43">
        <v>7</v>
      </c>
    </row>
    <row r="134" spans="1:5" x14ac:dyDescent="0.25">
      <c r="A134" s="5" t="s">
        <v>91</v>
      </c>
      <c r="B134" s="5">
        <v>25</v>
      </c>
      <c r="C134" s="5">
        <v>25</v>
      </c>
      <c r="D134" s="5" t="s">
        <v>121</v>
      </c>
      <c r="E134" s="43">
        <v>7</v>
      </c>
    </row>
    <row r="135" spans="1:5" x14ac:dyDescent="0.25">
      <c r="A135" s="5" t="s">
        <v>68</v>
      </c>
      <c r="B135" s="5">
        <v>41</v>
      </c>
      <c r="C135" s="5">
        <v>41</v>
      </c>
      <c r="D135" s="5"/>
      <c r="E135" s="43">
        <v>7</v>
      </c>
    </row>
    <row r="136" spans="1:5" x14ac:dyDescent="0.25">
      <c r="A136" s="5" t="s">
        <v>43</v>
      </c>
      <c r="B136" s="5">
        <v>42</v>
      </c>
      <c r="C136" s="5">
        <v>42</v>
      </c>
      <c r="D136" s="5"/>
      <c r="E136" s="43">
        <v>7</v>
      </c>
    </row>
    <row r="137" spans="1:5" x14ac:dyDescent="0.25">
      <c r="A137" s="5" t="s">
        <v>85</v>
      </c>
      <c r="B137" s="5">
        <v>10</v>
      </c>
      <c r="C137" s="5">
        <v>10</v>
      </c>
      <c r="D137" s="5" t="s">
        <v>120</v>
      </c>
      <c r="E137" s="43">
        <v>7</v>
      </c>
    </row>
    <row r="138" spans="1:5" x14ac:dyDescent="0.25">
      <c r="A138" s="5" t="s">
        <v>85</v>
      </c>
      <c r="B138" s="5">
        <v>55</v>
      </c>
      <c r="C138" s="5"/>
      <c r="D138" s="5"/>
      <c r="E138" s="43">
        <v>7</v>
      </c>
    </row>
    <row r="139" spans="1:5" x14ac:dyDescent="0.25">
      <c r="A139" s="5" t="s">
        <v>6</v>
      </c>
      <c r="B139" s="5">
        <v>15</v>
      </c>
      <c r="C139" s="5">
        <v>15</v>
      </c>
      <c r="D139" s="5" t="s">
        <v>120</v>
      </c>
      <c r="E139" s="43">
        <v>7</v>
      </c>
    </row>
    <row r="140" spans="1:5" x14ac:dyDescent="0.25">
      <c r="A140" s="5" t="s">
        <v>6</v>
      </c>
      <c r="B140" s="5">
        <v>32</v>
      </c>
      <c r="C140" s="5">
        <v>32</v>
      </c>
      <c r="D140" s="5" t="s">
        <v>121</v>
      </c>
      <c r="E140" s="43">
        <v>7</v>
      </c>
    </row>
    <row r="141" spans="1:5" x14ac:dyDescent="0.25">
      <c r="A141" s="5" t="s">
        <v>111</v>
      </c>
      <c r="B141" s="5">
        <v>33</v>
      </c>
      <c r="C141" s="5">
        <v>33</v>
      </c>
      <c r="D141" s="5" t="s">
        <v>121</v>
      </c>
      <c r="E141" s="43">
        <v>7</v>
      </c>
    </row>
    <row r="142" spans="1:5" x14ac:dyDescent="0.25">
      <c r="A142" s="5" t="s">
        <v>115</v>
      </c>
      <c r="B142" s="5">
        <v>52</v>
      </c>
      <c r="C142" s="5"/>
      <c r="D142" s="5"/>
      <c r="E142" s="43">
        <v>7</v>
      </c>
    </row>
    <row r="143" spans="1:5" x14ac:dyDescent="0.25">
      <c r="A143" s="5" t="s">
        <v>95</v>
      </c>
      <c r="B143" s="5">
        <v>19</v>
      </c>
      <c r="C143" s="5">
        <v>19</v>
      </c>
      <c r="D143" s="5" t="s">
        <v>120</v>
      </c>
      <c r="E143" s="43">
        <v>7</v>
      </c>
    </row>
    <row r="144" spans="1:5" x14ac:dyDescent="0.25">
      <c r="A144" s="5" t="s">
        <v>73</v>
      </c>
      <c r="B144" s="5">
        <v>29</v>
      </c>
      <c r="C144" s="5">
        <v>31</v>
      </c>
      <c r="D144" s="5" t="s">
        <v>120</v>
      </c>
      <c r="E144" s="43">
        <v>7</v>
      </c>
    </row>
    <row r="145" spans="1:5" x14ac:dyDescent="0.25">
      <c r="A145" s="5" t="s">
        <v>94</v>
      </c>
      <c r="B145" s="5">
        <v>17</v>
      </c>
      <c r="C145" s="5">
        <v>17</v>
      </c>
      <c r="D145" s="5" t="s">
        <v>121</v>
      </c>
      <c r="E145" s="43">
        <v>7</v>
      </c>
    </row>
    <row r="146" spans="1:5" x14ac:dyDescent="0.25">
      <c r="A146" s="5" t="s">
        <v>94</v>
      </c>
      <c r="B146" s="5">
        <v>35</v>
      </c>
      <c r="C146" s="5">
        <v>35</v>
      </c>
      <c r="D146" s="5"/>
      <c r="E146" s="43">
        <v>7</v>
      </c>
    </row>
    <row r="147" spans="1:5" x14ac:dyDescent="0.25">
      <c r="A147" s="5" t="s">
        <v>23</v>
      </c>
      <c r="B147" s="5">
        <v>28</v>
      </c>
      <c r="C147" s="5">
        <v>28</v>
      </c>
      <c r="D147" s="5" t="s">
        <v>120</v>
      </c>
      <c r="E147" s="43">
        <v>7</v>
      </c>
    </row>
    <row r="148" spans="1:5" x14ac:dyDescent="0.25">
      <c r="A148" s="5" t="s">
        <v>53</v>
      </c>
      <c r="B148" s="5">
        <v>3</v>
      </c>
      <c r="C148" s="5">
        <v>6</v>
      </c>
      <c r="D148" s="5" t="s">
        <v>120</v>
      </c>
      <c r="E148" s="43">
        <v>7</v>
      </c>
    </row>
    <row r="149" spans="1:5" x14ac:dyDescent="0.25">
      <c r="A149" s="5" t="s">
        <v>53</v>
      </c>
      <c r="B149" s="5">
        <v>37</v>
      </c>
      <c r="C149" s="5">
        <v>37</v>
      </c>
      <c r="D149" s="5"/>
      <c r="E149" s="43">
        <v>7</v>
      </c>
    </row>
    <row r="150" spans="1:5" x14ac:dyDescent="0.25">
      <c r="A150" s="5" t="s">
        <v>117</v>
      </c>
      <c r="B150" s="5">
        <v>43</v>
      </c>
      <c r="C150" s="5">
        <v>48</v>
      </c>
      <c r="D150" s="5"/>
      <c r="E150" s="43">
        <v>7</v>
      </c>
    </row>
    <row r="151" spans="1:5" x14ac:dyDescent="0.25">
      <c r="A151" s="5" t="s">
        <v>118</v>
      </c>
      <c r="B151" s="5">
        <v>49</v>
      </c>
      <c r="C151" s="5">
        <v>51</v>
      </c>
      <c r="D151" s="5"/>
      <c r="E151" s="43">
        <v>7</v>
      </c>
    </row>
    <row r="152" spans="1:5" x14ac:dyDescent="0.25">
      <c r="A152" s="5" t="s">
        <v>93</v>
      </c>
      <c r="B152" s="5">
        <v>13</v>
      </c>
      <c r="C152" s="5">
        <v>14</v>
      </c>
      <c r="D152" s="5" t="s">
        <v>121</v>
      </c>
      <c r="E152" s="43">
        <v>7</v>
      </c>
    </row>
    <row r="153" spans="1:5" x14ac:dyDescent="0.25">
      <c r="A153" s="5" t="s">
        <v>112</v>
      </c>
      <c r="B153" s="5">
        <v>34</v>
      </c>
      <c r="C153" s="5">
        <v>34</v>
      </c>
      <c r="D153" s="5" t="s">
        <v>121</v>
      </c>
      <c r="E153" s="43">
        <v>7</v>
      </c>
    </row>
    <row r="154" spans="1:5" x14ac:dyDescent="0.25">
      <c r="A154" s="53" t="s">
        <v>26</v>
      </c>
      <c r="B154" s="54">
        <v>43</v>
      </c>
      <c r="C154" s="54">
        <v>45</v>
      </c>
      <c r="D154" s="54" t="s">
        <v>121</v>
      </c>
      <c r="E154" s="55">
        <v>8</v>
      </c>
    </row>
    <row r="155" spans="1:5" x14ac:dyDescent="0.25">
      <c r="A155" s="56" t="s">
        <v>128</v>
      </c>
      <c r="B155" s="57">
        <v>43</v>
      </c>
      <c r="C155" s="57">
        <v>45</v>
      </c>
      <c r="D155" s="57" t="s">
        <v>121</v>
      </c>
      <c r="E155" s="58">
        <v>8</v>
      </c>
    </row>
    <row r="156" spans="1:5" x14ac:dyDescent="0.25">
      <c r="A156" s="53" t="s">
        <v>129</v>
      </c>
      <c r="B156" s="54">
        <v>43</v>
      </c>
      <c r="C156" s="54">
        <v>45</v>
      </c>
      <c r="D156" s="54" t="s">
        <v>121</v>
      </c>
      <c r="E156" s="55">
        <v>8</v>
      </c>
    </row>
    <row r="157" spans="1:5" x14ac:dyDescent="0.25">
      <c r="A157" s="56" t="s">
        <v>26</v>
      </c>
      <c r="B157" s="57">
        <v>10</v>
      </c>
      <c r="C157" s="57">
        <v>20</v>
      </c>
      <c r="D157" s="57" t="s">
        <v>121</v>
      </c>
      <c r="E157" s="58">
        <v>9</v>
      </c>
    </row>
    <row r="158" spans="1:5" x14ac:dyDescent="0.25">
      <c r="A158" s="53" t="s">
        <v>128</v>
      </c>
      <c r="B158" s="54">
        <v>20</v>
      </c>
      <c r="C158" s="54">
        <v>30</v>
      </c>
      <c r="D158" s="54" t="s">
        <v>121</v>
      </c>
      <c r="E158" s="55">
        <v>9</v>
      </c>
    </row>
    <row r="159" spans="1:5" x14ac:dyDescent="0.25">
      <c r="A159" s="56" t="s">
        <v>129</v>
      </c>
      <c r="B159" s="57">
        <v>30</v>
      </c>
      <c r="C159" s="57">
        <v>32</v>
      </c>
      <c r="D159" s="57" t="s">
        <v>121</v>
      </c>
      <c r="E159" s="58">
        <v>9</v>
      </c>
    </row>
    <row r="160" spans="1:5" x14ac:dyDescent="0.25">
      <c r="A160" s="53" t="s">
        <v>130</v>
      </c>
      <c r="B160" s="54">
        <v>12</v>
      </c>
      <c r="C160" s="54">
        <v>21</v>
      </c>
      <c r="D160" s="54" t="s">
        <v>121</v>
      </c>
      <c r="E160" s="55">
        <v>9</v>
      </c>
    </row>
  </sheetData>
  <pageMargins left="0.7" right="0.7" top="0.75" bottom="0.75" header="0.3" footer="0.3"/>
  <pageSetup paperSize="11" scale="18" orientation="portrait" r:id="rId1"/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78481-EEB7-465F-97B8-371F13E0286F}">
  <sheetPr codeName="Sheet26"/>
  <dimension ref="A1:E164"/>
  <sheetViews>
    <sheetView zoomScaleNormal="100" workbookViewId="0">
      <selection activeCell="H5" sqref="H5"/>
    </sheetView>
  </sheetViews>
  <sheetFormatPr defaultRowHeight="15" x14ac:dyDescent="0.25"/>
  <cols>
    <col min="1" max="5" width="19.85546875" style="5" customWidth="1"/>
  </cols>
  <sheetData>
    <row r="1" spans="1:5" x14ac:dyDescent="0.25">
      <c r="A1"/>
      <c r="B1"/>
      <c r="C1"/>
      <c r="D1"/>
      <c r="E1"/>
    </row>
    <row r="2" spans="1:5" x14ac:dyDescent="0.25">
      <c r="A2"/>
      <c r="B2"/>
      <c r="C2" s="52" t="s">
        <v>125</v>
      </c>
      <c r="D2"/>
      <c r="E2"/>
    </row>
    <row r="3" spans="1:5" x14ac:dyDescent="0.25">
      <c r="A3"/>
      <c r="B3"/>
      <c r="C3"/>
      <c r="D3"/>
      <c r="E3"/>
    </row>
    <row r="4" spans="1:5" x14ac:dyDescent="0.25">
      <c r="A4"/>
      <c r="B4"/>
      <c r="C4"/>
      <c r="D4"/>
      <c r="E4"/>
    </row>
    <row r="5" spans="1:5" ht="18.75" x14ac:dyDescent="0.25">
      <c r="A5" s="47" t="s">
        <v>122</v>
      </c>
      <c r="B5" s="48" t="s">
        <v>1</v>
      </c>
      <c r="C5" s="48" t="s">
        <v>22</v>
      </c>
      <c r="D5" s="48" t="s">
        <v>4</v>
      </c>
      <c r="E5" s="49" t="s">
        <v>123</v>
      </c>
    </row>
    <row r="6" spans="1:5" x14ac:dyDescent="0.25">
      <c r="A6" s="5" t="str" cm="1">
        <f t="array" ref="A6:E164">_xlfn._xlws.SORT(_xlfn._xlws.FILTER(Data!$A$2:$E$1048576,ISNUMBER(SEARCH(C2,Data!A2:A1048576))+ISNUMBER(SEARCH(C2,Data!D2:D1048576))+ISNUMBER(SEARCH(C2,Data!E2:E1048576)),"No Matches"),1,1)</f>
        <v>America</v>
      </c>
      <c r="B6" s="5">
        <v>12</v>
      </c>
      <c r="C6" s="5">
        <v>21</v>
      </c>
      <c r="D6" s="5" t="str">
        <v>No</v>
      </c>
      <c r="E6" s="5">
        <v>9</v>
      </c>
    </row>
    <row r="7" spans="1:5" x14ac:dyDescent="0.25">
      <c r="A7" s="5" t="str">
        <v>Argentina</v>
      </c>
      <c r="B7" s="5">
        <v>30</v>
      </c>
      <c r="C7" s="5">
        <v>31</v>
      </c>
      <c r="D7" s="5" t="str">
        <v>Yes</v>
      </c>
      <c r="E7" s="5">
        <v>3</v>
      </c>
    </row>
    <row r="8" spans="1:5" x14ac:dyDescent="0.25">
      <c r="A8" s="5" t="str">
        <v>Argentina</v>
      </c>
      <c r="B8" s="5">
        <v>31</v>
      </c>
      <c r="C8" s="5">
        <v>31</v>
      </c>
      <c r="D8" s="5" t="str">
        <v>No</v>
      </c>
      <c r="E8" s="5">
        <v>5</v>
      </c>
    </row>
    <row r="9" spans="1:5" x14ac:dyDescent="0.25">
      <c r="A9" s="5" t="str">
        <v>Australia</v>
      </c>
      <c r="B9" s="5">
        <v>32</v>
      </c>
      <c r="C9" s="5">
        <v>32</v>
      </c>
      <c r="D9" s="5" t="str">
        <v>Yes</v>
      </c>
      <c r="E9" s="5">
        <v>4</v>
      </c>
    </row>
    <row r="10" spans="1:5" x14ac:dyDescent="0.25">
      <c r="A10" s="5" t="str">
        <v>Australia</v>
      </c>
      <c r="B10" s="5">
        <v>26</v>
      </c>
      <c r="C10" s="5">
        <v>26</v>
      </c>
      <c r="D10" s="5" t="str">
        <v>No</v>
      </c>
      <c r="E10" s="5">
        <v>6</v>
      </c>
    </row>
    <row r="11" spans="1:5" x14ac:dyDescent="0.25">
      <c r="A11" s="5" t="str">
        <v>Australia</v>
      </c>
      <c r="B11" s="5">
        <v>29</v>
      </c>
      <c r="C11" s="5">
        <v>30</v>
      </c>
      <c r="D11" s="5" t="str">
        <v>Yes</v>
      </c>
      <c r="E11" s="5">
        <v>6</v>
      </c>
    </row>
    <row r="12" spans="1:5" x14ac:dyDescent="0.25">
      <c r="A12" s="5" t="str">
        <v>Australia</v>
      </c>
      <c r="B12" s="5">
        <v>32</v>
      </c>
      <c r="C12" s="5">
        <v>32</v>
      </c>
      <c r="D12" s="5" t="str">
        <v>No</v>
      </c>
      <c r="E12" s="5">
        <v>6</v>
      </c>
    </row>
    <row r="13" spans="1:5" x14ac:dyDescent="0.25">
      <c r="A13" s="5" t="str">
        <v xml:space="preserve">Australia </v>
      </c>
      <c r="B13" s="5">
        <v>29</v>
      </c>
      <c r="C13" s="5">
        <v>29</v>
      </c>
      <c r="D13" s="5" t="str">
        <v>Yes</v>
      </c>
      <c r="E13" s="5">
        <v>2</v>
      </c>
    </row>
    <row r="14" spans="1:5" x14ac:dyDescent="0.25">
      <c r="A14" s="5" t="str">
        <v>Austria</v>
      </c>
      <c r="B14" s="5">
        <v>5</v>
      </c>
      <c r="C14" s="5">
        <v>7</v>
      </c>
      <c r="D14" s="5" t="str">
        <v>Yes</v>
      </c>
      <c r="E14" s="5">
        <v>5</v>
      </c>
    </row>
    <row r="15" spans="1:5" x14ac:dyDescent="0.25">
      <c r="A15" s="5" t="str">
        <v>Austria</v>
      </c>
      <c r="B15" s="5">
        <v>24</v>
      </c>
      <c r="C15" s="5">
        <v>24</v>
      </c>
      <c r="D15" s="5" t="str">
        <v>No</v>
      </c>
      <c r="E15" s="5">
        <v>6</v>
      </c>
    </row>
    <row r="16" spans="1:5" x14ac:dyDescent="0.25">
      <c r="A16" s="5" t="str">
        <v>Bangladesh</v>
      </c>
      <c r="B16" s="5">
        <v>30</v>
      </c>
      <c r="C16" s="5">
        <v>44</v>
      </c>
      <c r="D16" s="5" t="str">
        <v>Yes</v>
      </c>
      <c r="E16" s="5">
        <v>1</v>
      </c>
    </row>
    <row r="17" spans="1:5" x14ac:dyDescent="0.25">
      <c r="A17" s="5" t="str">
        <v>Bavaria</v>
      </c>
      <c r="B17" s="5">
        <v>24</v>
      </c>
      <c r="C17" s="5">
        <v>24</v>
      </c>
      <c r="D17" s="5" t="str">
        <v>No</v>
      </c>
      <c r="E17" s="5">
        <v>5</v>
      </c>
    </row>
    <row r="18" spans="1:5" x14ac:dyDescent="0.25">
      <c r="A18" s="5" t="str">
        <v>Belarus</v>
      </c>
      <c r="B18" s="5">
        <v>30</v>
      </c>
      <c r="C18" s="5">
        <v>30</v>
      </c>
      <c r="D18" s="5" t="str">
        <v>No</v>
      </c>
      <c r="E18" s="5">
        <v>4</v>
      </c>
    </row>
    <row r="19" spans="1:5" x14ac:dyDescent="0.25">
      <c r="A19" s="5" t="str">
        <v>Belgian</v>
      </c>
      <c r="B19" s="5">
        <v>25</v>
      </c>
      <c r="C19" s="5">
        <v>25</v>
      </c>
      <c r="D19" s="5" t="str">
        <v>No</v>
      </c>
      <c r="E19" s="5">
        <v>2</v>
      </c>
    </row>
    <row r="20" spans="1:5" x14ac:dyDescent="0.25">
      <c r="A20" s="5" t="str">
        <v>Belgium</v>
      </c>
      <c r="B20" s="5">
        <v>24</v>
      </c>
      <c r="C20" s="5">
        <v>30</v>
      </c>
      <c r="D20" s="5" t="str">
        <v>Yes</v>
      </c>
      <c r="E20" s="5">
        <v>1</v>
      </c>
    </row>
    <row r="21" spans="1:5" x14ac:dyDescent="0.25">
      <c r="A21" s="5" t="str">
        <v>Belgium</v>
      </c>
      <c r="B21" s="5">
        <v>1</v>
      </c>
      <c r="C21" s="5">
        <v>2</v>
      </c>
      <c r="D21" s="5" t="str">
        <v>No</v>
      </c>
      <c r="E21" s="5">
        <v>7</v>
      </c>
    </row>
    <row r="22" spans="1:5" x14ac:dyDescent="0.25">
      <c r="A22" s="5" t="str">
        <v>Brazil</v>
      </c>
      <c r="B22" s="5">
        <v>6</v>
      </c>
      <c r="C22" s="5">
        <v>6</v>
      </c>
      <c r="D22" s="5" t="str">
        <v>Yes</v>
      </c>
      <c r="E22" s="5">
        <v>4</v>
      </c>
    </row>
    <row r="23" spans="1:5" x14ac:dyDescent="0.25">
      <c r="A23" s="5" t="str">
        <v>Brazil</v>
      </c>
      <c r="B23" s="5">
        <v>27</v>
      </c>
      <c r="C23" s="5">
        <v>27</v>
      </c>
      <c r="D23" s="5" t="str">
        <v>No</v>
      </c>
      <c r="E23" s="5">
        <v>5</v>
      </c>
    </row>
    <row r="24" spans="1:5" x14ac:dyDescent="0.25">
      <c r="A24" s="5" t="str">
        <v>Bulgaria</v>
      </c>
      <c r="B24" s="5">
        <v>8</v>
      </c>
      <c r="C24" s="5">
        <v>10</v>
      </c>
      <c r="D24" s="5" t="str">
        <v>Yes</v>
      </c>
      <c r="E24" s="5">
        <v>5</v>
      </c>
    </row>
    <row r="25" spans="1:5" x14ac:dyDescent="0.25">
      <c r="A25" s="5" t="str">
        <v>Bulgaria</v>
      </c>
      <c r="B25" s="5">
        <v>22</v>
      </c>
      <c r="C25" s="5">
        <v>22</v>
      </c>
      <c r="D25" s="5" t="str">
        <v>No</v>
      </c>
      <c r="E25" s="5">
        <v>6</v>
      </c>
    </row>
    <row r="26" spans="1:5" x14ac:dyDescent="0.25">
      <c r="A26" s="5" t="str">
        <v>Burundi</v>
      </c>
      <c r="B26" s="5">
        <v>12</v>
      </c>
      <c r="C26" s="5">
        <v>12</v>
      </c>
      <c r="D26" s="5" t="str">
        <v>No</v>
      </c>
      <c r="E26" s="5">
        <v>5</v>
      </c>
    </row>
    <row r="27" spans="1:5" x14ac:dyDescent="0.25">
      <c r="A27" s="5" t="str">
        <v>Cameroon</v>
      </c>
      <c r="B27" s="5">
        <v>27</v>
      </c>
      <c r="C27" s="5">
        <v>27</v>
      </c>
      <c r="D27" s="5" t="str">
        <v>No</v>
      </c>
      <c r="E27" s="5">
        <v>7</v>
      </c>
    </row>
    <row r="28" spans="1:5" x14ac:dyDescent="0.25">
      <c r="A28" s="5" t="str">
        <v>Canada</v>
      </c>
      <c r="B28" s="5">
        <v>11</v>
      </c>
      <c r="C28" s="5">
        <v>13</v>
      </c>
      <c r="D28" s="5" t="str">
        <v>Yes</v>
      </c>
      <c r="E28" s="5">
        <v>2</v>
      </c>
    </row>
    <row r="29" spans="1:5" x14ac:dyDescent="0.25">
      <c r="A29" s="5" t="str">
        <v>Canada</v>
      </c>
      <c r="B29" s="5">
        <v>31</v>
      </c>
      <c r="C29" s="5">
        <v>31</v>
      </c>
      <c r="D29" s="5" t="str">
        <v>Yes</v>
      </c>
      <c r="E29" s="5">
        <v>6</v>
      </c>
    </row>
    <row r="30" spans="1:5" x14ac:dyDescent="0.25">
      <c r="A30" s="5" t="str">
        <v>Canada</v>
      </c>
      <c r="B30" s="5">
        <v>43</v>
      </c>
      <c r="C30" s="5">
        <v>45</v>
      </c>
      <c r="D30" s="5" t="str">
        <v>No</v>
      </c>
      <c r="E30" s="5">
        <v>8</v>
      </c>
    </row>
    <row r="31" spans="1:5" x14ac:dyDescent="0.25">
      <c r="A31" s="5" t="str">
        <v>Canada</v>
      </c>
      <c r="B31" s="5">
        <v>10</v>
      </c>
      <c r="C31" s="5">
        <v>20</v>
      </c>
      <c r="D31" s="5" t="str">
        <v>No</v>
      </c>
      <c r="E31" s="5">
        <v>9</v>
      </c>
    </row>
    <row r="32" spans="1:5" x14ac:dyDescent="0.25">
      <c r="A32" s="5" t="str">
        <v xml:space="preserve">Canada </v>
      </c>
      <c r="B32" s="5">
        <v>6</v>
      </c>
      <c r="C32" s="5">
        <v>6</v>
      </c>
      <c r="D32" s="5" t="str">
        <v>No</v>
      </c>
      <c r="E32" s="5">
        <v>1</v>
      </c>
    </row>
    <row r="33" spans="1:5" x14ac:dyDescent="0.25">
      <c r="A33" s="5" t="str">
        <v>Ce</v>
      </c>
      <c r="B33" s="5">
        <v>54</v>
      </c>
      <c r="C33" s="5">
        <v>0</v>
      </c>
      <c r="D33" s="5">
        <v>0</v>
      </c>
      <c r="E33" s="5">
        <v>7</v>
      </c>
    </row>
    <row r="34" spans="1:5" x14ac:dyDescent="0.25">
      <c r="A34" s="5" t="str">
        <v>Ceylon</v>
      </c>
      <c r="B34" s="5">
        <v>20</v>
      </c>
      <c r="C34" s="5">
        <v>20</v>
      </c>
      <c r="D34" s="5" t="str">
        <v>No</v>
      </c>
      <c r="E34" s="5">
        <v>1</v>
      </c>
    </row>
    <row r="35" spans="1:5" x14ac:dyDescent="0.25">
      <c r="A35" s="5" t="str">
        <v>Chile</v>
      </c>
      <c r="B35" s="5">
        <v>32</v>
      </c>
      <c r="C35" s="5">
        <v>32</v>
      </c>
      <c r="D35" s="5" t="str">
        <v>No</v>
      </c>
      <c r="E35" s="5">
        <v>1</v>
      </c>
    </row>
    <row r="36" spans="1:5" x14ac:dyDescent="0.25">
      <c r="A36" s="5" t="str">
        <v>Chile</v>
      </c>
      <c r="B36" s="5">
        <v>9</v>
      </c>
      <c r="C36" s="5">
        <v>9</v>
      </c>
      <c r="D36" s="5" t="str">
        <v>No</v>
      </c>
      <c r="E36" s="5">
        <v>6</v>
      </c>
    </row>
    <row r="37" spans="1:5" x14ac:dyDescent="0.25">
      <c r="A37" s="5" t="str">
        <v>China</v>
      </c>
      <c r="B37" s="5">
        <v>2</v>
      </c>
      <c r="C37" s="5">
        <v>2</v>
      </c>
      <c r="D37" s="5" t="str">
        <v>Yes</v>
      </c>
      <c r="E37" s="5">
        <v>3</v>
      </c>
    </row>
    <row r="38" spans="1:5" x14ac:dyDescent="0.25">
      <c r="A38" s="5" t="str">
        <v>China</v>
      </c>
      <c r="B38" s="5">
        <v>17</v>
      </c>
      <c r="C38" s="5">
        <v>17</v>
      </c>
      <c r="D38" s="5" t="str">
        <v>Yes</v>
      </c>
      <c r="E38" s="5">
        <v>6</v>
      </c>
    </row>
    <row r="39" spans="1:5" x14ac:dyDescent="0.25">
      <c r="A39" s="5" t="str">
        <v>China</v>
      </c>
      <c r="B39" s="5">
        <v>25</v>
      </c>
      <c r="C39" s="5">
        <v>25</v>
      </c>
      <c r="D39" s="5" t="str">
        <v>No</v>
      </c>
      <c r="E39" s="5">
        <v>6</v>
      </c>
    </row>
    <row r="40" spans="1:5" x14ac:dyDescent="0.25">
      <c r="A40" s="5" t="str">
        <v>Colombia</v>
      </c>
      <c r="B40" s="5">
        <v>14</v>
      </c>
      <c r="C40" s="5">
        <v>14</v>
      </c>
      <c r="D40" s="5" t="str">
        <v>No</v>
      </c>
      <c r="E40" s="5">
        <v>2</v>
      </c>
    </row>
    <row r="41" spans="1:5" x14ac:dyDescent="0.25">
      <c r="A41" s="5" t="str">
        <v>Congo</v>
      </c>
      <c r="B41" s="5">
        <v>19</v>
      </c>
      <c r="C41" s="5">
        <v>19</v>
      </c>
      <c r="D41" s="5" t="str">
        <v>No</v>
      </c>
      <c r="E41" s="5">
        <v>1</v>
      </c>
    </row>
    <row r="42" spans="1:5" x14ac:dyDescent="0.25">
      <c r="A42" s="5" t="str">
        <v>Croatia</v>
      </c>
      <c r="B42" s="5">
        <v>53</v>
      </c>
      <c r="C42" s="5">
        <v>0</v>
      </c>
      <c r="D42" s="5">
        <v>0</v>
      </c>
      <c r="E42" s="5">
        <v>7</v>
      </c>
    </row>
    <row r="43" spans="1:5" x14ac:dyDescent="0.25">
      <c r="A43" s="5" t="str">
        <v>Cuba</v>
      </c>
      <c r="B43" s="5">
        <v>20</v>
      </c>
      <c r="C43" s="5">
        <v>20</v>
      </c>
      <c r="D43" s="5" t="str">
        <v>No</v>
      </c>
      <c r="E43" s="5">
        <v>2</v>
      </c>
    </row>
    <row r="44" spans="1:5" x14ac:dyDescent="0.25">
      <c r="A44" s="5" t="str">
        <v>Cyprus</v>
      </c>
      <c r="B44" s="5">
        <v>16</v>
      </c>
      <c r="C44" s="5">
        <v>16</v>
      </c>
      <c r="D44" s="5" t="str">
        <v>Yes</v>
      </c>
      <c r="E44" s="5">
        <v>7</v>
      </c>
    </row>
    <row r="45" spans="1:5" x14ac:dyDescent="0.25">
      <c r="A45" s="5" t="str">
        <v>Cyprus</v>
      </c>
      <c r="B45" s="5">
        <v>38</v>
      </c>
      <c r="C45" s="5">
        <v>38</v>
      </c>
      <c r="D45" s="5">
        <v>0</v>
      </c>
      <c r="E45" s="5">
        <v>7</v>
      </c>
    </row>
    <row r="46" spans="1:5" x14ac:dyDescent="0.25">
      <c r="A46" s="5" t="str">
        <v>Czechol</v>
      </c>
      <c r="B46" s="5">
        <v>36</v>
      </c>
      <c r="C46" s="5">
        <v>36</v>
      </c>
      <c r="D46" s="5">
        <v>0</v>
      </c>
      <c r="E46" s="5">
        <v>7</v>
      </c>
    </row>
    <row r="47" spans="1:5" x14ac:dyDescent="0.25">
      <c r="A47" s="5" t="str">
        <v>Czechoslovakia</v>
      </c>
      <c r="B47" s="5">
        <v>8</v>
      </c>
      <c r="C47" s="5">
        <v>11</v>
      </c>
      <c r="D47" s="5" t="str">
        <v>Yes</v>
      </c>
      <c r="E47" s="5">
        <v>3</v>
      </c>
    </row>
    <row r="48" spans="1:5" x14ac:dyDescent="0.25">
      <c r="A48" s="5" t="str">
        <v xml:space="preserve">Czechoslovakia </v>
      </c>
      <c r="B48" s="5">
        <v>7</v>
      </c>
      <c r="C48" s="5">
        <v>7</v>
      </c>
      <c r="D48" s="5" t="str">
        <v>Yes</v>
      </c>
      <c r="E48" s="5">
        <v>1</v>
      </c>
    </row>
    <row r="49" spans="1:5" x14ac:dyDescent="0.25">
      <c r="A49" s="5" t="str">
        <v>Denmark</v>
      </c>
      <c r="B49" s="5">
        <v>26</v>
      </c>
      <c r="C49" s="5">
        <v>28</v>
      </c>
      <c r="D49" s="5" t="str">
        <v>Yes</v>
      </c>
      <c r="E49" s="5">
        <v>2</v>
      </c>
    </row>
    <row r="50" spans="1:5" x14ac:dyDescent="0.25">
      <c r="A50" s="5" t="str">
        <v>Denmark</v>
      </c>
      <c r="B50" s="5">
        <v>20</v>
      </c>
      <c r="C50" s="5">
        <v>20</v>
      </c>
      <c r="D50" s="5" t="str">
        <v>No</v>
      </c>
      <c r="E50" s="5">
        <v>7</v>
      </c>
    </row>
    <row r="51" spans="1:5" x14ac:dyDescent="0.25">
      <c r="A51" s="5" t="str">
        <v>Ecuador</v>
      </c>
      <c r="B51" s="5">
        <v>3</v>
      </c>
      <c r="C51" s="5">
        <v>3</v>
      </c>
      <c r="D51" s="5" t="str">
        <v>No</v>
      </c>
      <c r="E51" s="5">
        <v>1</v>
      </c>
    </row>
    <row r="52" spans="1:5" x14ac:dyDescent="0.25">
      <c r="A52" s="5" t="str">
        <v>England</v>
      </c>
      <c r="B52" s="5">
        <v>434</v>
      </c>
      <c r="C52" s="5">
        <v>44</v>
      </c>
      <c r="D52" s="5" t="str">
        <v>no</v>
      </c>
      <c r="E52" s="5">
        <v>7</v>
      </c>
    </row>
    <row r="53" spans="1:5" x14ac:dyDescent="0.25">
      <c r="A53" s="5" t="str">
        <v>Ethiopia</v>
      </c>
      <c r="B53" s="5">
        <v>11</v>
      </c>
      <c r="C53" s="5">
        <v>11</v>
      </c>
      <c r="D53" s="5" t="str">
        <v>No</v>
      </c>
      <c r="E53" s="5">
        <v>5</v>
      </c>
    </row>
    <row r="54" spans="1:5" x14ac:dyDescent="0.25">
      <c r="A54" s="5" t="str">
        <v>Finland</v>
      </c>
      <c r="B54" s="5">
        <v>18</v>
      </c>
      <c r="C54" s="5">
        <v>18</v>
      </c>
      <c r="D54" s="5" t="str">
        <v>Yes</v>
      </c>
      <c r="E54" s="5">
        <v>2</v>
      </c>
    </row>
    <row r="55" spans="1:5" x14ac:dyDescent="0.25">
      <c r="A55" s="5" t="str">
        <v>France</v>
      </c>
      <c r="B55" s="5">
        <v>11</v>
      </c>
      <c r="C55" s="5">
        <v>12</v>
      </c>
      <c r="D55" s="5" t="str">
        <v>Yes</v>
      </c>
      <c r="E55" s="5">
        <v>7</v>
      </c>
    </row>
    <row r="56" spans="1:5" x14ac:dyDescent="0.25">
      <c r="A56" s="5" t="str">
        <v>France</v>
      </c>
      <c r="B56" s="5">
        <v>21</v>
      </c>
      <c r="C56" s="5">
        <v>21</v>
      </c>
      <c r="D56" s="5" t="str">
        <v>No</v>
      </c>
      <c r="E56" s="5">
        <v>7</v>
      </c>
    </row>
    <row r="57" spans="1:5" x14ac:dyDescent="0.25">
      <c r="A57" s="5" t="str">
        <v>French</v>
      </c>
      <c r="B57" s="5">
        <v>12</v>
      </c>
      <c r="C57" s="5">
        <v>22</v>
      </c>
      <c r="D57" s="5" t="str">
        <v>Yes</v>
      </c>
      <c r="E57" s="5">
        <v>3</v>
      </c>
    </row>
    <row r="58" spans="1:5" x14ac:dyDescent="0.25">
      <c r="A58" s="5" t="str">
        <v>Germany</v>
      </c>
      <c r="B58" s="5">
        <v>18</v>
      </c>
      <c r="C58" s="5">
        <v>28</v>
      </c>
      <c r="D58" s="5" t="str">
        <v>Yes</v>
      </c>
      <c r="E58" s="5">
        <v>4</v>
      </c>
    </row>
    <row r="59" spans="1:5" x14ac:dyDescent="0.25">
      <c r="A59" s="5" t="str">
        <v>Germany</v>
      </c>
      <c r="B59" s="5">
        <v>1</v>
      </c>
      <c r="C59" s="5">
        <v>2</v>
      </c>
      <c r="D59" s="5" t="str">
        <v>Yes</v>
      </c>
      <c r="E59" s="5">
        <v>6</v>
      </c>
    </row>
    <row r="60" spans="1:5" x14ac:dyDescent="0.25">
      <c r="A60" s="5" t="str">
        <v>Germany</v>
      </c>
      <c r="B60" s="5">
        <v>10</v>
      </c>
      <c r="C60" s="5">
        <v>10</v>
      </c>
      <c r="D60" s="5" t="str">
        <v>No</v>
      </c>
      <c r="E60" s="5">
        <v>6</v>
      </c>
    </row>
    <row r="61" spans="1:5" x14ac:dyDescent="0.25">
      <c r="A61" s="5" t="str">
        <v>Germany</v>
      </c>
      <c r="B61" s="5">
        <v>22</v>
      </c>
      <c r="C61" s="5">
        <v>22</v>
      </c>
      <c r="D61" s="5" t="str">
        <v>Yes</v>
      </c>
      <c r="E61" s="5">
        <v>7</v>
      </c>
    </row>
    <row r="62" spans="1:5" x14ac:dyDescent="0.25">
      <c r="A62" s="5" t="str">
        <v>Germany</v>
      </c>
      <c r="B62" s="5">
        <v>56</v>
      </c>
      <c r="C62" s="5">
        <v>0</v>
      </c>
      <c r="D62" s="5">
        <v>0</v>
      </c>
      <c r="E62" s="5">
        <v>7</v>
      </c>
    </row>
    <row r="63" spans="1:5" x14ac:dyDescent="0.25">
      <c r="A63" s="5" t="str">
        <v>Ghana</v>
      </c>
      <c r="B63" s="5">
        <v>19</v>
      </c>
      <c r="C63" s="5">
        <v>19</v>
      </c>
      <c r="D63" s="5" t="str">
        <v>No</v>
      </c>
      <c r="E63" s="5">
        <v>6</v>
      </c>
    </row>
    <row r="64" spans="1:5" x14ac:dyDescent="0.25">
      <c r="A64" s="5" t="str">
        <v>Greece</v>
      </c>
      <c r="B64" s="5">
        <v>15</v>
      </c>
      <c r="C64" s="5">
        <v>15</v>
      </c>
      <c r="D64" s="5" t="str">
        <v>Yes</v>
      </c>
      <c r="E64" s="5">
        <v>6</v>
      </c>
    </row>
    <row r="65" spans="1:5" x14ac:dyDescent="0.25">
      <c r="A65" s="5" t="str">
        <v>Greece</v>
      </c>
      <c r="B65" s="5">
        <v>18</v>
      </c>
      <c r="C65" s="5">
        <v>18</v>
      </c>
      <c r="D65" s="5" t="str">
        <v>No</v>
      </c>
      <c r="E65" s="5">
        <v>7</v>
      </c>
    </row>
    <row r="66" spans="1:5" x14ac:dyDescent="0.25">
      <c r="A66" s="5" t="str">
        <v>Greek</v>
      </c>
      <c r="B66" s="5">
        <v>8</v>
      </c>
      <c r="C66" s="5">
        <v>8</v>
      </c>
      <c r="D66" s="5" t="str">
        <v>Yes</v>
      </c>
      <c r="E66" s="5">
        <v>2</v>
      </c>
    </row>
    <row r="67" spans="1:5" x14ac:dyDescent="0.25">
      <c r="A67" s="5" t="str">
        <v>Greek</v>
      </c>
      <c r="B67" s="5">
        <v>40</v>
      </c>
      <c r="C67" s="5">
        <v>40</v>
      </c>
      <c r="D67" s="5">
        <v>0</v>
      </c>
      <c r="E67" s="5">
        <v>7</v>
      </c>
    </row>
    <row r="68" spans="1:5" x14ac:dyDescent="0.25">
      <c r="A68" s="5" t="str">
        <v>Greenland</v>
      </c>
      <c r="B68" s="5">
        <v>26</v>
      </c>
      <c r="C68" s="5">
        <v>26</v>
      </c>
      <c r="D68" s="5" t="str">
        <v>No</v>
      </c>
      <c r="E68" s="5">
        <v>7</v>
      </c>
    </row>
    <row r="69" spans="1:5" x14ac:dyDescent="0.25">
      <c r="A69" s="5" t="str">
        <v>Guatemala</v>
      </c>
      <c r="B69" s="5">
        <v>28</v>
      </c>
      <c r="C69" s="5">
        <v>28</v>
      </c>
      <c r="D69" s="5" t="str">
        <v>No</v>
      </c>
      <c r="E69" s="5">
        <v>5</v>
      </c>
    </row>
    <row r="70" spans="1:5" x14ac:dyDescent="0.25">
      <c r="A70" s="5" t="str">
        <v>guernsey</v>
      </c>
      <c r="B70" s="5">
        <v>23</v>
      </c>
      <c r="C70" s="5">
        <v>23</v>
      </c>
      <c r="D70" s="5" t="str">
        <v>No</v>
      </c>
      <c r="E70" s="5">
        <v>7</v>
      </c>
    </row>
    <row r="71" spans="1:5" x14ac:dyDescent="0.25">
      <c r="A71" s="5" t="str">
        <v>Haiti</v>
      </c>
      <c r="B71" s="5">
        <v>18</v>
      </c>
      <c r="C71" s="5">
        <v>18</v>
      </c>
      <c r="D71" s="5" t="str">
        <v>No</v>
      </c>
      <c r="E71" s="5">
        <v>5</v>
      </c>
    </row>
    <row r="72" spans="1:5" x14ac:dyDescent="0.25">
      <c r="A72" s="5" t="str">
        <v>Hong Kong</v>
      </c>
      <c r="B72" s="5">
        <v>10</v>
      </c>
      <c r="C72" s="5">
        <v>10</v>
      </c>
      <c r="D72" s="5" t="str">
        <v>No</v>
      </c>
      <c r="E72" s="5">
        <v>2</v>
      </c>
    </row>
    <row r="73" spans="1:5" x14ac:dyDescent="0.25">
      <c r="A73" s="5" t="str">
        <v xml:space="preserve">India </v>
      </c>
      <c r="B73" s="5">
        <v>8</v>
      </c>
      <c r="C73" s="5">
        <v>9</v>
      </c>
      <c r="D73" s="5" t="str">
        <v>No</v>
      </c>
      <c r="E73" s="5">
        <v>1</v>
      </c>
    </row>
    <row r="74" spans="1:5" x14ac:dyDescent="0.25">
      <c r="A74" s="5" t="str">
        <v>Indonesia</v>
      </c>
      <c r="B74" s="5">
        <v>28</v>
      </c>
      <c r="C74" s="5">
        <v>29</v>
      </c>
      <c r="D74" s="5" t="str">
        <v>Yes</v>
      </c>
      <c r="E74" s="5">
        <v>3</v>
      </c>
    </row>
    <row r="75" spans="1:5" x14ac:dyDescent="0.25">
      <c r="A75" s="5" t="str">
        <v>Indonesia</v>
      </c>
      <c r="B75" s="5">
        <v>9</v>
      </c>
      <c r="C75" s="5">
        <v>9</v>
      </c>
      <c r="D75" s="5" t="str">
        <v>No</v>
      </c>
      <c r="E75" s="5">
        <v>7</v>
      </c>
    </row>
    <row r="76" spans="1:5" x14ac:dyDescent="0.25">
      <c r="A76" s="5" t="str">
        <v>Ireland</v>
      </c>
      <c r="B76" s="5">
        <v>21</v>
      </c>
      <c r="C76" s="5">
        <v>21</v>
      </c>
      <c r="D76" s="5" t="str">
        <v>No</v>
      </c>
      <c r="E76" s="5">
        <v>5</v>
      </c>
    </row>
    <row r="77" spans="1:5" x14ac:dyDescent="0.25">
      <c r="A77" s="5" t="str">
        <v>Italy</v>
      </c>
      <c r="B77" s="5">
        <v>3</v>
      </c>
      <c r="C77" s="5">
        <v>6</v>
      </c>
      <c r="D77" s="5" t="str">
        <v>Yes</v>
      </c>
      <c r="E77" s="5">
        <v>3</v>
      </c>
    </row>
    <row r="78" spans="1:5" x14ac:dyDescent="0.25">
      <c r="A78" s="5" t="str">
        <v>Italy</v>
      </c>
      <c r="B78" s="5">
        <v>16</v>
      </c>
      <c r="C78" s="5">
        <v>16</v>
      </c>
      <c r="D78" s="5" t="str">
        <v>Yes</v>
      </c>
      <c r="E78" s="5">
        <v>6</v>
      </c>
    </row>
    <row r="79" spans="1:5" x14ac:dyDescent="0.25">
      <c r="A79" s="5" t="str">
        <v>Italy</v>
      </c>
      <c r="B79" s="5">
        <v>7</v>
      </c>
      <c r="C79" s="5">
        <v>8</v>
      </c>
      <c r="D79" s="5" t="str">
        <v>Yes</v>
      </c>
      <c r="E79" s="5">
        <v>7</v>
      </c>
    </row>
    <row r="80" spans="1:5" x14ac:dyDescent="0.25">
      <c r="A80" s="5" t="str">
        <v>Italy</v>
      </c>
      <c r="B80" s="5">
        <v>39</v>
      </c>
      <c r="C80" s="5">
        <v>39</v>
      </c>
      <c r="D80" s="5">
        <v>0</v>
      </c>
      <c r="E80" s="5">
        <v>7</v>
      </c>
    </row>
    <row r="81" spans="1:5" x14ac:dyDescent="0.25">
      <c r="A81" s="5" t="str">
        <v>ivory coast</v>
      </c>
      <c r="B81" s="5">
        <v>24</v>
      </c>
      <c r="C81" s="5">
        <v>24</v>
      </c>
      <c r="D81" s="5" t="str">
        <v>No</v>
      </c>
      <c r="E81" s="5">
        <v>7</v>
      </c>
    </row>
    <row r="82" spans="1:5" x14ac:dyDescent="0.25">
      <c r="A82" s="5" t="str">
        <v>Japan</v>
      </c>
      <c r="B82" s="5">
        <v>7</v>
      </c>
      <c r="C82" s="5">
        <v>7</v>
      </c>
      <c r="D82" s="5" t="str">
        <v>No</v>
      </c>
      <c r="E82" s="5">
        <v>3</v>
      </c>
    </row>
    <row r="83" spans="1:5" x14ac:dyDescent="0.25">
      <c r="A83" s="5" t="str">
        <v>jersey</v>
      </c>
      <c r="B83" s="5">
        <v>25</v>
      </c>
      <c r="C83" s="5">
        <v>25</v>
      </c>
      <c r="D83" s="5" t="str">
        <v>No</v>
      </c>
      <c r="E83" s="5">
        <v>7</v>
      </c>
    </row>
    <row r="84" spans="1:5" x14ac:dyDescent="0.25">
      <c r="A84" s="5" t="str">
        <v>Kenya</v>
      </c>
      <c r="B84" s="5">
        <v>43</v>
      </c>
      <c r="C84" s="5">
        <v>45</v>
      </c>
      <c r="D84" s="5" t="str">
        <v>No</v>
      </c>
      <c r="E84" s="5">
        <v>8</v>
      </c>
    </row>
    <row r="85" spans="1:5" x14ac:dyDescent="0.25">
      <c r="A85" s="5" t="str">
        <v>Kenya</v>
      </c>
      <c r="B85" s="5">
        <v>20</v>
      </c>
      <c r="C85" s="5">
        <v>30</v>
      </c>
      <c r="D85" s="5" t="str">
        <v>No</v>
      </c>
      <c r="E85" s="5">
        <v>9</v>
      </c>
    </row>
    <row r="86" spans="1:5" x14ac:dyDescent="0.25">
      <c r="A86" s="5" t="str">
        <v>Korea</v>
      </c>
      <c r="B86" s="5">
        <v>15</v>
      </c>
      <c r="C86" s="5">
        <v>15</v>
      </c>
      <c r="D86" s="5" t="str">
        <v>No</v>
      </c>
      <c r="E86" s="5">
        <v>2</v>
      </c>
    </row>
    <row r="87" spans="1:5" x14ac:dyDescent="0.25">
      <c r="A87" s="5" t="str">
        <v>Latvia</v>
      </c>
      <c r="B87" s="5">
        <v>26</v>
      </c>
      <c r="C87" s="5">
        <v>26</v>
      </c>
      <c r="D87" s="5" t="str">
        <v>No</v>
      </c>
      <c r="E87" s="5">
        <v>5</v>
      </c>
    </row>
    <row r="88" spans="1:5" x14ac:dyDescent="0.25">
      <c r="A88" s="5" t="str">
        <v>Liberia</v>
      </c>
      <c r="B88" s="5">
        <v>32</v>
      </c>
      <c r="C88" s="5">
        <v>32</v>
      </c>
      <c r="D88" s="5" t="str">
        <v>No</v>
      </c>
      <c r="E88" s="5">
        <v>2</v>
      </c>
    </row>
    <row r="89" spans="1:5" x14ac:dyDescent="0.25">
      <c r="A89" s="5" t="str">
        <v>Liechtenstein</v>
      </c>
      <c r="B89" s="5">
        <v>14</v>
      </c>
      <c r="C89" s="5">
        <v>14</v>
      </c>
      <c r="D89" s="5" t="str">
        <v>No</v>
      </c>
      <c r="E89" s="5">
        <v>5</v>
      </c>
    </row>
    <row r="90" spans="1:5" x14ac:dyDescent="0.25">
      <c r="A90" s="5" t="str">
        <v>Luxembourg</v>
      </c>
      <c r="B90" s="5">
        <v>22</v>
      </c>
      <c r="C90" s="5">
        <v>22</v>
      </c>
      <c r="D90" s="5" t="str">
        <v>No</v>
      </c>
      <c r="E90" s="5">
        <v>5</v>
      </c>
    </row>
    <row r="91" spans="1:5" x14ac:dyDescent="0.25">
      <c r="A91" s="5" t="str">
        <v>Malaya</v>
      </c>
      <c r="B91" s="5">
        <v>7</v>
      </c>
      <c r="C91" s="5">
        <v>7</v>
      </c>
      <c r="D91" s="5" t="str">
        <v>No</v>
      </c>
      <c r="E91" s="5">
        <v>4</v>
      </c>
    </row>
    <row r="92" spans="1:5" x14ac:dyDescent="0.25">
      <c r="A92" s="5" t="str">
        <v>Maldives</v>
      </c>
      <c r="B92" s="5">
        <v>15</v>
      </c>
      <c r="C92" s="5">
        <v>15</v>
      </c>
      <c r="D92" s="5" t="str">
        <v>No</v>
      </c>
      <c r="E92" s="5">
        <v>5</v>
      </c>
    </row>
    <row r="93" spans="1:5" x14ac:dyDescent="0.25">
      <c r="A93" s="5" t="str">
        <v>Mexico</v>
      </c>
      <c r="B93" s="5">
        <v>31</v>
      </c>
      <c r="C93" s="5">
        <v>31</v>
      </c>
      <c r="D93" s="5" t="str">
        <v>No</v>
      </c>
      <c r="E93" s="5">
        <v>1</v>
      </c>
    </row>
    <row r="94" spans="1:5" x14ac:dyDescent="0.25">
      <c r="A94" s="5" t="str">
        <v>Monaco</v>
      </c>
      <c r="B94" s="5">
        <v>23</v>
      </c>
      <c r="C94" s="5">
        <v>23</v>
      </c>
      <c r="D94" s="5" t="str">
        <v>Yes</v>
      </c>
      <c r="E94" s="5">
        <v>5</v>
      </c>
    </row>
    <row r="95" spans="1:5" x14ac:dyDescent="0.25">
      <c r="A95" s="5" t="str">
        <v>Monaco</v>
      </c>
      <c r="B95" s="5">
        <v>41</v>
      </c>
      <c r="C95" s="5">
        <v>41</v>
      </c>
      <c r="D95" s="5">
        <v>0</v>
      </c>
      <c r="E95" s="5">
        <v>7</v>
      </c>
    </row>
    <row r="96" spans="1:5" x14ac:dyDescent="0.25">
      <c r="A96" s="5" t="str">
        <v>Mongolia</v>
      </c>
      <c r="B96" s="5">
        <v>8</v>
      </c>
      <c r="C96" s="5">
        <v>9</v>
      </c>
      <c r="D96" s="5" t="str">
        <v>Yes</v>
      </c>
      <c r="E96" s="5">
        <v>4</v>
      </c>
    </row>
    <row r="97" spans="1:5" x14ac:dyDescent="0.25">
      <c r="A97" s="5" t="str">
        <v>Mongolia</v>
      </c>
      <c r="B97" s="5">
        <v>8</v>
      </c>
      <c r="C97" s="5">
        <v>8</v>
      </c>
      <c r="D97" s="5" t="str">
        <v>No</v>
      </c>
      <c r="E97" s="5">
        <v>6</v>
      </c>
    </row>
    <row r="98" spans="1:5" x14ac:dyDescent="0.25">
      <c r="A98" s="5" t="str">
        <v>Mozambique</v>
      </c>
      <c r="B98" s="5">
        <v>21</v>
      </c>
      <c r="C98" s="5">
        <v>21</v>
      </c>
      <c r="D98" s="5" t="str">
        <v>No</v>
      </c>
      <c r="E98" s="5">
        <v>1</v>
      </c>
    </row>
    <row r="99" spans="1:5" x14ac:dyDescent="0.25">
      <c r="A99" s="5" t="str">
        <v>Nederland</v>
      </c>
      <c r="B99" s="5">
        <v>31</v>
      </c>
      <c r="C99" s="5">
        <v>31</v>
      </c>
      <c r="D99" s="5" t="str">
        <v>Yes</v>
      </c>
      <c r="E99" s="5">
        <v>2</v>
      </c>
    </row>
    <row r="100" spans="1:5" x14ac:dyDescent="0.25">
      <c r="A100" s="5" t="str">
        <v>Nederland</v>
      </c>
      <c r="B100" s="5">
        <v>12</v>
      </c>
      <c r="C100" s="5">
        <v>12</v>
      </c>
      <c r="D100" s="5" t="str">
        <v>Yes</v>
      </c>
      <c r="E100" s="5">
        <v>6</v>
      </c>
    </row>
    <row r="101" spans="1:5" x14ac:dyDescent="0.25">
      <c r="A101" s="5" t="str">
        <v>Nederland</v>
      </c>
      <c r="B101" s="5">
        <v>21</v>
      </c>
      <c r="C101" s="5">
        <v>21</v>
      </c>
      <c r="D101" s="5" t="str">
        <v>No</v>
      </c>
      <c r="E101" s="5">
        <v>6</v>
      </c>
    </row>
    <row r="102" spans="1:5" x14ac:dyDescent="0.25">
      <c r="A102" s="5" t="str">
        <v>New Zealand</v>
      </c>
      <c r="B102" s="5">
        <v>17</v>
      </c>
      <c r="C102" s="5">
        <v>17</v>
      </c>
      <c r="D102" s="5" t="str">
        <v>No</v>
      </c>
      <c r="E102" s="5">
        <v>2</v>
      </c>
    </row>
    <row r="103" spans="1:5" x14ac:dyDescent="0.25">
      <c r="A103" s="5" t="str">
        <v>Nigeria</v>
      </c>
      <c r="B103" s="5">
        <v>21</v>
      </c>
      <c r="C103" s="5">
        <v>21</v>
      </c>
      <c r="D103" s="5" t="str">
        <v>No</v>
      </c>
      <c r="E103" s="5">
        <v>2</v>
      </c>
    </row>
    <row r="104" spans="1:5" x14ac:dyDescent="0.25">
      <c r="A104" s="5" t="str">
        <v>northlands eat indies</v>
      </c>
      <c r="B104" s="5">
        <v>19</v>
      </c>
      <c r="C104" s="5">
        <v>19</v>
      </c>
      <c r="D104" s="5" t="str">
        <v>No</v>
      </c>
      <c r="E104" s="5">
        <v>5</v>
      </c>
    </row>
    <row r="105" spans="1:5" x14ac:dyDescent="0.25">
      <c r="A105" s="5" t="str">
        <v>Norway</v>
      </c>
      <c r="B105" s="5">
        <v>5</v>
      </c>
      <c r="C105" s="5">
        <v>5</v>
      </c>
      <c r="D105" s="5" t="str">
        <v>No</v>
      </c>
      <c r="E105" s="5">
        <v>2</v>
      </c>
    </row>
    <row r="106" spans="1:5" x14ac:dyDescent="0.25">
      <c r="A106" s="5" t="str">
        <v>Panama</v>
      </c>
      <c r="B106" s="5">
        <v>15</v>
      </c>
      <c r="C106" s="5">
        <v>15</v>
      </c>
      <c r="D106" s="5" t="str">
        <v>No</v>
      </c>
      <c r="E106" s="5">
        <v>1</v>
      </c>
    </row>
    <row r="107" spans="1:5" x14ac:dyDescent="0.25">
      <c r="A107" s="5" t="str">
        <v>Paraguay</v>
      </c>
      <c r="B107" s="5">
        <v>30</v>
      </c>
      <c r="C107" s="5">
        <v>30</v>
      </c>
      <c r="D107" s="5" t="str">
        <v>No</v>
      </c>
      <c r="E107" s="5">
        <v>2</v>
      </c>
    </row>
    <row r="108" spans="1:5" x14ac:dyDescent="0.25">
      <c r="A108" s="5" t="str">
        <v xml:space="preserve">Philippines </v>
      </c>
      <c r="B108" s="5">
        <v>22</v>
      </c>
      <c r="C108" s="5">
        <v>22</v>
      </c>
      <c r="D108" s="5" t="str">
        <v>No</v>
      </c>
      <c r="E108" s="5">
        <v>1</v>
      </c>
    </row>
    <row r="109" spans="1:5" x14ac:dyDescent="0.25">
      <c r="A109" s="5" t="str">
        <v>Poland</v>
      </c>
      <c r="B109" s="5">
        <v>1</v>
      </c>
      <c r="C109" s="5">
        <v>5</v>
      </c>
      <c r="D109" s="5" t="str">
        <v>Yes</v>
      </c>
      <c r="E109" s="5">
        <v>4</v>
      </c>
    </row>
    <row r="110" spans="1:5" x14ac:dyDescent="0.25">
      <c r="A110" s="5" t="str">
        <v>Poland</v>
      </c>
      <c r="B110" s="5">
        <v>3</v>
      </c>
      <c r="C110" s="5">
        <v>5</v>
      </c>
      <c r="D110" s="5" t="str">
        <v>No</v>
      </c>
      <c r="E110" s="5">
        <v>6</v>
      </c>
    </row>
    <row r="111" spans="1:5" x14ac:dyDescent="0.25">
      <c r="A111" s="5" t="str">
        <v>Poland</v>
      </c>
      <c r="B111" s="5">
        <v>42</v>
      </c>
      <c r="C111" s="5">
        <v>42</v>
      </c>
      <c r="D111" s="5">
        <v>0</v>
      </c>
      <c r="E111" s="5">
        <v>7</v>
      </c>
    </row>
    <row r="112" spans="1:5" x14ac:dyDescent="0.25">
      <c r="A112" s="5" t="str">
        <v>Portugal</v>
      </c>
      <c r="B112" s="5">
        <v>20</v>
      </c>
      <c r="C112" s="5">
        <v>20</v>
      </c>
      <c r="D112" s="5" t="str">
        <v>Yes</v>
      </c>
      <c r="E112" s="5">
        <v>5</v>
      </c>
    </row>
    <row r="113" spans="1:5" x14ac:dyDescent="0.25">
      <c r="A113" s="5" t="str">
        <v>Portugal</v>
      </c>
      <c r="B113" s="5">
        <v>10</v>
      </c>
      <c r="C113" s="5">
        <v>10</v>
      </c>
      <c r="D113" s="5" t="str">
        <v>Yes</v>
      </c>
      <c r="E113" s="5">
        <v>7</v>
      </c>
    </row>
    <row r="114" spans="1:5" x14ac:dyDescent="0.25">
      <c r="A114" s="5" t="str">
        <v>Portugal</v>
      </c>
      <c r="B114" s="5">
        <v>55</v>
      </c>
      <c r="C114" s="5">
        <v>0</v>
      </c>
      <c r="D114" s="5">
        <v>0</v>
      </c>
      <c r="E114" s="5">
        <v>7</v>
      </c>
    </row>
    <row r="115" spans="1:5" x14ac:dyDescent="0.25">
      <c r="A115" s="5" t="str">
        <v>Rhodesia</v>
      </c>
      <c r="B115" s="5">
        <v>23</v>
      </c>
      <c r="C115" s="5">
        <v>23</v>
      </c>
      <c r="D115" s="5" t="str">
        <v>No</v>
      </c>
      <c r="E115" s="5">
        <v>1</v>
      </c>
    </row>
    <row r="116" spans="1:5" x14ac:dyDescent="0.25">
      <c r="A116" s="5" t="str">
        <v>Romania</v>
      </c>
      <c r="B116" s="5">
        <v>4</v>
      </c>
      <c r="C116" s="5">
        <v>5</v>
      </c>
      <c r="D116" s="5" t="str">
        <v>Yes</v>
      </c>
      <c r="E116" s="5">
        <v>1</v>
      </c>
    </row>
    <row r="117" spans="1:5" x14ac:dyDescent="0.25">
      <c r="A117" s="5" t="str">
        <v>Romania</v>
      </c>
      <c r="B117" s="5">
        <v>10</v>
      </c>
      <c r="C117" s="5">
        <v>17</v>
      </c>
      <c r="D117" s="5" t="str">
        <v>Yes</v>
      </c>
      <c r="E117" s="5">
        <v>4</v>
      </c>
    </row>
    <row r="118" spans="1:5" x14ac:dyDescent="0.25">
      <c r="A118" s="5" t="str">
        <v>Romania</v>
      </c>
      <c r="B118" s="5">
        <v>15</v>
      </c>
      <c r="C118" s="5">
        <v>15</v>
      </c>
      <c r="D118" s="5" t="str">
        <v>Yes</v>
      </c>
      <c r="E118" s="5">
        <v>7</v>
      </c>
    </row>
    <row r="119" spans="1:5" x14ac:dyDescent="0.25">
      <c r="A119" s="5" t="str">
        <v>Romania</v>
      </c>
      <c r="B119" s="5">
        <v>32</v>
      </c>
      <c r="C119" s="5">
        <v>32</v>
      </c>
      <c r="D119" s="5" t="str">
        <v>No</v>
      </c>
      <c r="E119" s="5">
        <v>7</v>
      </c>
    </row>
    <row r="120" spans="1:5" x14ac:dyDescent="0.25">
      <c r="A120" s="5" t="str">
        <v>Russian</v>
      </c>
      <c r="B120" s="5">
        <v>29</v>
      </c>
      <c r="C120" s="5">
        <v>29</v>
      </c>
      <c r="D120" s="5" t="str">
        <v>No</v>
      </c>
      <c r="E120" s="5">
        <v>4</v>
      </c>
    </row>
    <row r="121" spans="1:5" x14ac:dyDescent="0.25">
      <c r="A121" s="5" t="str">
        <v>Rwanda</v>
      </c>
      <c r="B121" s="5">
        <v>16</v>
      </c>
      <c r="C121" s="5">
        <v>16</v>
      </c>
      <c r="D121" s="5" t="str">
        <v>Yes</v>
      </c>
      <c r="E121" s="5">
        <v>5</v>
      </c>
    </row>
    <row r="122" spans="1:5" x14ac:dyDescent="0.25">
      <c r="A122" s="5" t="str">
        <v xml:space="preserve">Rwanda </v>
      </c>
      <c r="B122" s="5">
        <v>33</v>
      </c>
      <c r="C122" s="5">
        <v>33</v>
      </c>
      <c r="D122" s="5" t="str">
        <v>No</v>
      </c>
      <c r="E122" s="5">
        <v>7</v>
      </c>
    </row>
    <row r="123" spans="1:5" x14ac:dyDescent="0.25">
      <c r="A123" s="5" t="str">
        <v>Senegal</v>
      </c>
      <c r="B123" s="5">
        <v>19</v>
      </c>
      <c r="C123" s="5">
        <v>19</v>
      </c>
      <c r="D123" s="5" t="str">
        <v>No</v>
      </c>
      <c r="E123" s="5">
        <v>2</v>
      </c>
    </row>
    <row r="124" spans="1:5" x14ac:dyDescent="0.25">
      <c r="A124" s="5" t="str">
        <v>Serbia</v>
      </c>
      <c r="B124" s="5">
        <v>52</v>
      </c>
      <c r="C124" s="5">
        <v>0</v>
      </c>
      <c r="D124" s="5">
        <v>0</v>
      </c>
      <c r="E124" s="5">
        <v>7</v>
      </c>
    </row>
    <row r="125" spans="1:5" x14ac:dyDescent="0.25">
      <c r="A125" s="5" t="str">
        <v>Serbs, Croats and Slovenes</v>
      </c>
      <c r="B125" s="5">
        <v>25</v>
      </c>
      <c r="C125" s="5">
        <v>25</v>
      </c>
      <c r="D125" s="5" t="str">
        <v>No</v>
      </c>
      <c r="E125" s="5">
        <v>5</v>
      </c>
    </row>
    <row r="126" spans="1:5" x14ac:dyDescent="0.25">
      <c r="A126" s="5" t="str">
        <v>Singapore</v>
      </c>
      <c r="B126" s="5">
        <v>1</v>
      </c>
      <c r="C126" s="5">
        <v>1</v>
      </c>
      <c r="D126" s="5" t="str">
        <v>No</v>
      </c>
      <c r="E126" s="5">
        <v>3</v>
      </c>
    </row>
    <row r="127" spans="1:5" x14ac:dyDescent="0.25">
      <c r="A127" s="5" t="str">
        <v>south Africa</v>
      </c>
      <c r="B127" s="5">
        <v>19</v>
      </c>
      <c r="C127" s="5">
        <v>19</v>
      </c>
      <c r="D127" s="5" t="str">
        <v>Yes</v>
      </c>
      <c r="E127" s="5">
        <v>7</v>
      </c>
    </row>
    <row r="128" spans="1:5" x14ac:dyDescent="0.25">
      <c r="A128" s="5" t="str">
        <v xml:space="preserve">South Africa </v>
      </c>
      <c r="B128" s="5">
        <v>16</v>
      </c>
      <c r="C128" s="5">
        <v>17</v>
      </c>
      <c r="D128" s="5" t="str">
        <v>Yes</v>
      </c>
      <c r="E128" s="5">
        <v>1</v>
      </c>
    </row>
    <row r="129" spans="1:5" x14ac:dyDescent="0.25">
      <c r="A129" s="5" t="str">
        <v xml:space="preserve">South Africa </v>
      </c>
      <c r="B129" s="5">
        <v>14</v>
      </c>
      <c r="C129" s="5">
        <v>14</v>
      </c>
      <c r="D129" s="5" t="str">
        <v>No</v>
      </c>
      <c r="E129" s="5">
        <v>6</v>
      </c>
    </row>
    <row r="130" spans="1:5" x14ac:dyDescent="0.25">
      <c r="A130" s="5" t="str">
        <v xml:space="preserve">South Africa </v>
      </c>
      <c r="B130" s="5">
        <v>23</v>
      </c>
      <c r="C130" s="5">
        <v>23</v>
      </c>
      <c r="D130" s="5" t="str">
        <v>No</v>
      </c>
      <c r="E130" s="5">
        <v>6</v>
      </c>
    </row>
    <row r="131" spans="1:5" x14ac:dyDescent="0.25">
      <c r="A131" s="5" t="str">
        <v>soviet unio</v>
      </c>
      <c r="B131" s="5">
        <v>29</v>
      </c>
      <c r="C131" s="5">
        <v>30</v>
      </c>
      <c r="D131" s="5" t="str">
        <v>No</v>
      </c>
      <c r="E131" s="5">
        <v>5</v>
      </c>
    </row>
    <row r="132" spans="1:5" x14ac:dyDescent="0.25">
      <c r="A132" s="5" t="str">
        <v>Soviet union</v>
      </c>
      <c r="B132" s="5">
        <v>9</v>
      </c>
      <c r="C132" s="5">
        <v>9</v>
      </c>
      <c r="D132" s="5" t="str">
        <v>No</v>
      </c>
      <c r="E132" s="5">
        <v>2</v>
      </c>
    </row>
    <row r="133" spans="1:5" x14ac:dyDescent="0.25">
      <c r="A133" s="5" t="str">
        <v>Spain</v>
      </c>
      <c r="B133" s="5">
        <v>1</v>
      </c>
      <c r="C133" s="5">
        <v>2</v>
      </c>
      <c r="D133" s="5" t="str">
        <v>Yes</v>
      </c>
      <c r="E133" s="5">
        <v>1</v>
      </c>
    </row>
    <row r="134" spans="1:5" x14ac:dyDescent="0.25">
      <c r="A134" s="5" t="str">
        <v>Spain</v>
      </c>
      <c r="B134" s="5">
        <v>13</v>
      </c>
      <c r="C134" s="5">
        <v>13</v>
      </c>
      <c r="D134" s="5" t="str">
        <v>Yes</v>
      </c>
      <c r="E134" s="5">
        <v>6</v>
      </c>
    </row>
    <row r="135" spans="1:5" x14ac:dyDescent="0.25">
      <c r="A135" s="5" t="str">
        <v>Spain</v>
      </c>
      <c r="B135" s="5">
        <v>27</v>
      </c>
      <c r="C135" s="5">
        <v>28</v>
      </c>
      <c r="D135" s="5" t="str">
        <v>Yes</v>
      </c>
      <c r="E135" s="5">
        <v>6</v>
      </c>
    </row>
    <row r="136" spans="1:5" x14ac:dyDescent="0.25">
      <c r="A136" s="5" t="str">
        <v>Sweden</v>
      </c>
      <c r="B136" s="5">
        <v>22</v>
      </c>
      <c r="C136" s="5">
        <v>24</v>
      </c>
      <c r="D136" s="5" t="str">
        <v>Yes</v>
      </c>
      <c r="E136" s="5">
        <v>2</v>
      </c>
    </row>
    <row r="137" spans="1:5" x14ac:dyDescent="0.25">
      <c r="A137" s="5" t="str">
        <v>Sweden</v>
      </c>
      <c r="B137" s="5">
        <v>18</v>
      </c>
      <c r="C137" s="5">
        <v>18</v>
      </c>
      <c r="D137" s="5" t="str">
        <v>No</v>
      </c>
      <c r="E137" s="5">
        <v>6</v>
      </c>
    </row>
    <row r="138" spans="1:5" x14ac:dyDescent="0.25">
      <c r="A138" s="5" t="str">
        <v>Switzerland</v>
      </c>
      <c r="B138" s="5">
        <v>1</v>
      </c>
      <c r="C138" s="5">
        <v>4</v>
      </c>
      <c r="D138" s="5" t="str">
        <v>Yes</v>
      </c>
      <c r="E138" s="5">
        <v>5</v>
      </c>
    </row>
    <row r="139" spans="1:5" x14ac:dyDescent="0.25">
      <c r="A139" s="5" t="str">
        <v>Switzerland</v>
      </c>
      <c r="B139" s="5">
        <v>29</v>
      </c>
      <c r="C139" s="5">
        <v>31</v>
      </c>
      <c r="D139" s="5" t="str">
        <v>Yes</v>
      </c>
      <c r="E139" s="5">
        <v>7</v>
      </c>
    </row>
    <row r="140" spans="1:5" x14ac:dyDescent="0.25">
      <c r="A140" s="5" t="str">
        <v>Taiwan</v>
      </c>
      <c r="B140" s="5">
        <v>32</v>
      </c>
      <c r="C140" s="5">
        <v>0</v>
      </c>
      <c r="D140" s="5" t="str">
        <v>No</v>
      </c>
      <c r="E140" s="5">
        <v>3</v>
      </c>
    </row>
    <row r="141" spans="1:5" x14ac:dyDescent="0.25">
      <c r="A141" s="5" t="str">
        <v>Thailand</v>
      </c>
      <c r="B141" s="5">
        <v>18</v>
      </c>
      <c r="C141" s="5">
        <v>18</v>
      </c>
      <c r="D141" s="5" t="str">
        <v>No</v>
      </c>
      <c r="E141" s="5">
        <v>1</v>
      </c>
    </row>
    <row r="142" spans="1:5" x14ac:dyDescent="0.25">
      <c r="A142" s="5" t="str">
        <v>Togo</v>
      </c>
      <c r="B142" s="5">
        <v>17</v>
      </c>
      <c r="C142" s="5">
        <v>17</v>
      </c>
      <c r="D142" s="5" t="str">
        <v>No</v>
      </c>
      <c r="E142" s="5">
        <v>7</v>
      </c>
    </row>
    <row r="143" spans="1:5" x14ac:dyDescent="0.25">
      <c r="A143" s="5" t="str">
        <v>Togo</v>
      </c>
      <c r="B143" s="5">
        <v>35</v>
      </c>
      <c r="C143" s="5">
        <v>35</v>
      </c>
      <c r="D143" s="5">
        <v>0</v>
      </c>
      <c r="E143" s="5">
        <v>7</v>
      </c>
    </row>
    <row r="144" spans="1:5" x14ac:dyDescent="0.25">
      <c r="A144" s="5" t="str">
        <v xml:space="preserve">Turkey </v>
      </c>
      <c r="B144" s="5">
        <v>10</v>
      </c>
      <c r="C144" s="5">
        <v>14</v>
      </c>
      <c r="D144" s="5" t="str">
        <v>No</v>
      </c>
      <c r="E144" s="5">
        <v>1</v>
      </c>
    </row>
    <row r="145" spans="1:5" x14ac:dyDescent="0.25">
      <c r="A145" s="5" t="str">
        <v>U.S.A</v>
      </c>
      <c r="B145" s="5">
        <v>1</v>
      </c>
      <c r="C145" s="5">
        <v>4</v>
      </c>
      <c r="D145" s="5" t="str">
        <v>Yes</v>
      </c>
      <c r="E145" s="5">
        <v>2</v>
      </c>
    </row>
    <row r="146" spans="1:5" x14ac:dyDescent="0.25">
      <c r="A146" s="5" t="str">
        <v>U.S.A</v>
      </c>
      <c r="B146" s="5">
        <v>6</v>
      </c>
      <c r="C146" s="5">
        <v>7</v>
      </c>
      <c r="D146" s="5" t="str">
        <v>Yes</v>
      </c>
      <c r="E146" s="5">
        <v>6</v>
      </c>
    </row>
    <row r="147" spans="1:5" x14ac:dyDescent="0.25">
      <c r="A147" s="5" t="str">
        <v>U.S.A</v>
      </c>
      <c r="B147" s="5">
        <v>28</v>
      </c>
      <c r="C147" s="5">
        <v>28</v>
      </c>
      <c r="D147" s="5" t="str">
        <v>Yes</v>
      </c>
      <c r="E147" s="5">
        <v>7</v>
      </c>
    </row>
    <row r="148" spans="1:5" x14ac:dyDescent="0.25">
      <c r="A148" s="5" t="str">
        <v>Uganda</v>
      </c>
      <c r="B148" s="5">
        <v>43</v>
      </c>
      <c r="C148" s="5">
        <v>45</v>
      </c>
      <c r="D148" s="5" t="str">
        <v>No</v>
      </c>
      <c r="E148" s="5">
        <v>8</v>
      </c>
    </row>
    <row r="149" spans="1:5" x14ac:dyDescent="0.25">
      <c r="A149" s="5" t="str">
        <v>Uganda</v>
      </c>
      <c r="B149" s="5">
        <v>30</v>
      </c>
      <c r="C149" s="5">
        <v>32</v>
      </c>
      <c r="D149" s="5" t="str">
        <v>No</v>
      </c>
      <c r="E149" s="5">
        <v>9</v>
      </c>
    </row>
    <row r="150" spans="1:5" x14ac:dyDescent="0.25">
      <c r="A150" s="5" t="str">
        <v>Ukraine</v>
      </c>
      <c r="B150" s="5">
        <v>31</v>
      </c>
      <c r="C150" s="5">
        <v>31</v>
      </c>
      <c r="D150" s="5" t="str">
        <v>No</v>
      </c>
      <c r="E150" s="5">
        <v>4</v>
      </c>
    </row>
    <row r="151" spans="1:5" x14ac:dyDescent="0.25">
      <c r="A151" s="5" t="str">
        <v>united kingdom</v>
      </c>
      <c r="B151" s="5">
        <v>23</v>
      </c>
      <c r="C151" s="5">
        <v>27</v>
      </c>
      <c r="D151" s="5" t="str">
        <v>Yes</v>
      </c>
      <c r="E151" s="5">
        <v>3</v>
      </c>
    </row>
    <row r="152" spans="1:5" x14ac:dyDescent="0.25">
      <c r="A152" s="5" t="str">
        <v>united kingdom</v>
      </c>
      <c r="B152" s="5">
        <v>3</v>
      </c>
      <c r="C152" s="5">
        <v>6</v>
      </c>
      <c r="D152" s="5" t="str">
        <v>Yes</v>
      </c>
      <c r="E152" s="5">
        <v>7</v>
      </c>
    </row>
    <row r="153" spans="1:5" x14ac:dyDescent="0.25">
      <c r="A153" s="5" t="str">
        <v>united kingdom</v>
      </c>
      <c r="B153" s="5">
        <v>37</v>
      </c>
      <c r="C153" s="5">
        <v>37</v>
      </c>
      <c r="D153" s="5">
        <v>0</v>
      </c>
      <c r="E153" s="5">
        <v>7</v>
      </c>
    </row>
    <row r="154" spans="1:5" x14ac:dyDescent="0.25">
      <c r="A154" s="5" t="str">
        <v>uno</v>
      </c>
      <c r="B154" s="5">
        <v>32</v>
      </c>
      <c r="C154" s="5">
        <v>32</v>
      </c>
      <c r="D154" s="5" t="str">
        <v>No</v>
      </c>
      <c r="E154" s="5">
        <v>5</v>
      </c>
    </row>
    <row r="155" spans="1:5" x14ac:dyDescent="0.25">
      <c r="A155" s="5" t="str">
        <v>Uruguay</v>
      </c>
      <c r="B155" s="5">
        <v>6</v>
      </c>
      <c r="C155" s="5">
        <v>7</v>
      </c>
      <c r="D155" s="5" t="str">
        <v>No</v>
      </c>
      <c r="E155" s="5">
        <v>2</v>
      </c>
    </row>
    <row r="156" spans="1:5" x14ac:dyDescent="0.25">
      <c r="A156" s="5" t="str">
        <v>Usa</v>
      </c>
      <c r="B156" s="5">
        <v>43</v>
      </c>
      <c r="C156" s="5">
        <v>48</v>
      </c>
      <c r="D156" s="5">
        <v>0</v>
      </c>
      <c r="E156" s="5">
        <v>7</v>
      </c>
    </row>
    <row r="157" spans="1:5" x14ac:dyDescent="0.25">
      <c r="A157" s="5" t="str">
        <v>Vanuatu</v>
      </c>
      <c r="B157" s="5">
        <v>13</v>
      </c>
      <c r="C157" s="5">
        <v>13</v>
      </c>
      <c r="D157" s="5" t="str">
        <v>No</v>
      </c>
      <c r="E157" s="5">
        <v>5</v>
      </c>
    </row>
    <row r="158" spans="1:5" x14ac:dyDescent="0.25">
      <c r="A158" s="5" t="str">
        <v>Venezuela</v>
      </c>
      <c r="B158" s="5">
        <v>16</v>
      </c>
      <c r="C158" s="5">
        <v>16</v>
      </c>
      <c r="D158" s="5" t="str">
        <v>No</v>
      </c>
      <c r="E158" s="5">
        <v>2</v>
      </c>
    </row>
    <row r="159" spans="1:5" x14ac:dyDescent="0.25">
      <c r="A159" s="5" t="str">
        <v>viet nam</v>
      </c>
      <c r="B159" s="5">
        <v>11</v>
      </c>
      <c r="C159" s="5">
        <v>11</v>
      </c>
      <c r="D159" s="5" t="str">
        <v>No</v>
      </c>
      <c r="E159" s="5">
        <v>6</v>
      </c>
    </row>
    <row r="160" spans="1:5" x14ac:dyDescent="0.25">
      <c r="A160" s="5" t="str">
        <v>Yugolsavia</v>
      </c>
      <c r="B160" s="5">
        <v>49</v>
      </c>
      <c r="C160" s="5">
        <v>51</v>
      </c>
      <c r="D160" s="5">
        <v>0</v>
      </c>
      <c r="E160" s="5">
        <v>7</v>
      </c>
    </row>
    <row r="161" spans="1:5" x14ac:dyDescent="0.25">
      <c r="A161" s="5" t="str">
        <v>Yugoslavia</v>
      </c>
      <c r="B161" s="5">
        <v>17</v>
      </c>
      <c r="C161" s="5">
        <v>17</v>
      </c>
      <c r="D161" s="5" t="str">
        <v>Yes</v>
      </c>
      <c r="E161" s="5">
        <v>5</v>
      </c>
    </row>
    <row r="162" spans="1:5" x14ac:dyDescent="0.25">
      <c r="A162" s="5" t="str">
        <v>Yugoslavia</v>
      </c>
      <c r="B162" s="5">
        <v>20</v>
      </c>
      <c r="C162" s="5">
        <v>20</v>
      </c>
      <c r="D162" s="5" t="str">
        <v>No</v>
      </c>
      <c r="E162" s="5">
        <v>6</v>
      </c>
    </row>
    <row r="163" spans="1:5" x14ac:dyDescent="0.25">
      <c r="A163" s="5" t="str">
        <v>Zaire</v>
      </c>
      <c r="B163" s="5">
        <v>13</v>
      </c>
      <c r="C163" s="5">
        <v>14</v>
      </c>
      <c r="D163" s="5" t="str">
        <v>No</v>
      </c>
      <c r="E163" s="5">
        <v>7</v>
      </c>
    </row>
    <row r="164" spans="1:5" x14ac:dyDescent="0.25">
      <c r="A164" s="5" t="str">
        <v>Zambia</v>
      </c>
      <c r="B164" s="5">
        <v>34</v>
      </c>
      <c r="C164" s="5">
        <v>34</v>
      </c>
      <c r="D164" s="5" t="str">
        <v>No</v>
      </c>
      <c r="E164" s="5">
        <v>7</v>
      </c>
    </row>
  </sheetData>
  <printOptions gridLines="1"/>
  <pageMargins left="0.7" right="0.7" top="0.75" bottom="0.75" header="0.3" footer="0.3"/>
  <pageSetup scale="91"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TextBox1">
          <controlPr defaultSize="0" autoLine="0" autoPict="0" linkedCell="C2" r:id="rId5">
            <anchor moveWithCells="1">
              <from>
                <xdr:col>1</xdr:col>
                <xdr:colOff>638175</xdr:colOff>
                <xdr:row>0</xdr:row>
                <xdr:rowOff>133350</xdr:rowOff>
              </from>
              <to>
                <xdr:col>4</xdr:col>
                <xdr:colOff>333375</xdr:colOff>
                <xdr:row>3</xdr:row>
                <xdr:rowOff>38100</xdr:rowOff>
              </to>
            </anchor>
          </controlPr>
        </control>
      </mc:Choice>
      <mc:Fallback>
        <control shapeId="23553" r:id="rId4" name="TextBox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CC81EEEF-B4E5-4D27-874D-168AD997F5D0}">
            <xm:f>NOT(ISERROR(SEARCH($C$2,A6)))</xm:f>
            <xm:f>$C$2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A6:E1048576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462B5-C2D9-4938-8E38-1FB225DBFCBC}">
  <dimension ref="A1:E4"/>
  <sheetViews>
    <sheetView workbookViewId="0">
      <selection activeCell="C2" sqref="C2:C5"/>
    </sheetView>
  </sheetViews>
  <sheetFormatPr defaultRowHeight="15" x14ac:dyDescent="0.25"/>
  <sheetData>
    <row r="1" spans="1:5" x14ac:dyDescent="0.25">
      <c r="A1" t="s">
        <v>122</v>
      </c>
      <c r="B1" t="s">
        <v>1</v>
      </c>
      <c r="C1" t="s">
        <v>22</v>
      </c>
      <c r="D1" t="s">
        <v>4</v>
      </c>
      <c r="E1" t="s">
        <v>123</v>
      </c>
    </row>
    <row r="2" spans="1:5" x14ac:dyDescent="0.25">
      <c r="A2" t="str" cm="1">
        <f t="array" ref="A2:E4">_xlfn._xlws.SORT(_xlfn._xlws.FILTER(Data!A:E,Data!E:E=8), {2,3}, {1,1})</f>
        <v>Canada</v>
      </c>
      <c r="B2">
        <v>43</v>
      </c>
      <c r="C2">
        <v>45</v>
      </c>
      <c r="D2" t="str">
        <v>No</v>
      </c>
      <c r="E2">
        <v>8</v>
      </c>
    </row>
    <row r="3" spans="1:5" x14ac:dyDescent="0.25">
      <c r="A3" t="str">
        <v>Kenya</v>
      </c>
      <c r="B3">
        <v>43</v>
      </c>
      <c r="C3">
        <v>45</v>
      </c>
      <c r="D3" t="str">
        <v>No</v>
      </c>
      <c r="E3">
        <v>8</v>
      </c>
    </row>
    <row r="4" spans="1:5" x14ac:dyDescent="0.25">
      <c r="A4" t="str">
        <v>Uganda</v>
      </c>
      <c r="B4">
        <v>43</v>
      </c>
      <c r="C4">
        <v>45</v>
      </c>
      <c r="D4" t="str">
        <v>No</v>
      </c>
      <c r="E4">
        <v>8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CCFFC-669D-4C2A-968E-D89E9A928A63}">
  <dimension ref="A1:E5"/>
  <sheetViews>
    <sheetView workbookViewId="0">
      <selection activeCell="J17" sqref="J17"/>
    </sheetView>
  </sheetViews>
  <sheetFormatPr defaultRowHeight="15" x14ac:dyDescent="0.25"/>
  <sheetData>
    <row r="1" spans="1:5" x14ac:dyDescent="0.25">
      <c r="A1" t="s">
        <v>122</v>
      </c>
      <c r="B1" t="s">
        <v>1</v>
      </c>
      <c r="C1" t="s">
        <v>22</v>
      </c>
      <c r="D1" t="s">
        <v>4</v>
      </c>
      <c r="E1" t="s">
        <v>123</v>
      </c>
    </row>
    <row r="2" spans="1:5" x14ac:dyDescent="0.25">
      <c r="A2" t="str" cm="1">
        <f t="array" ref="A2:E5">_xlfn._xlws.SORT(_xlfn._xlws.FILTER(Data!A:E,Data!E:E=9), {2,3}, {1,1})</f>
        <v>Canada</v>
      </c>
      <c r="B2">
        <v>10</v>
      </c>
      <c r="C2">
        <v>20</v>
      </c>
      <c r="D2" t="str">
        <v>No</v>
      </c>
      <c r="E2">
        <v>9</v>
      </c>
    </row>
    <row r="3" spans="1:5" x14ac:dyDescent="0.25">
      <c r="A3" t="str">
        <v>America</v>
      </c>
      <c r="B3">
        <v>12</v>
      </c>
      <c r="C3">
        <v>21</v>
      </c>
      <c r="D3" t="str">
        <v>No</v>
      </c>
      <c r="E3">
        <v>9</v>
      </c>
    </row>
    <row r="4" spans="1:5" x14ac:dyDescent="0.25">
      <c r="A4" t="str">
        <v>Kenya</v>
      </c>
      <c r="B4">
        <v>20</v>
      </c>
      <c r="C4">
        <v>30</v>
      </c>
      <c r="D4" t="str">
        <v>No</v>
      </c>
      <c r="E4">
        <v>9</v>
      </c>
    </row>
    <row r="5" spans="1:5" x14ac:dyDescent="0.25">
      <c r="A5" t="str">
        <v>Uganda</v>
      </c>
      <c r="B5">
        <v>30</v>
      </c>
      <c r="C5">
        <v>32</v>
      </c>
      <c r="D5" t="str">
        <v>No</v>
      </c>
      <c r="E5">
        <v>9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47EB7-642C-465C-AD6B-136E2AC6C23C}">
  <sheetPr codeName="Sheet20"/>
  <dimension ref="C2:G24"/>
  <sheetViews>
    <sheetView workbookViewId="0">
      <selection activeCell="D18" sqref="D18"/>
    </sheetView>
  </sheetViews>
  <sheetFormatPr defaultRowHeight="15" x14ac:dyDescent="0.25"/>
  <cols>
    <col min="3" max="7" width="14.85546875" customWidth="1"/>
  </cols>
  <sheetData>
    <row r="2" spans="3:7" ht="18.75" x14ac:dyDescent="0.25">
      <c r="C2" s="49" t="s">
        <v>123</v>
      </c>
    </row>
    <row r="3" spans="3:7" x14ac:dyDescent="0.25">
      <c r="C3" s="50">
        <v>1</v>
      </c>
    </row>
    <row r="5" spans="3:7" ht="18.75" x14ac:dyDescent="0.25">
      <c r="C5" s="47" t="s">
        <v>122</v>
      </c>
      <c r="D5" s="48" t="s">
        <v>1</v>
      </c>
      <c r="E5" s="48" t="s">
        <v>22</v>
      </c>
      <c r="F5" s="48" t="s">
        <v>4</v>
      </c>
      <c r="G5" s="49" t="s">
        <v>123</v>
      </c>
    </row>
    <row r="6" spans="3:7" x14ac:dyDescent="0.25">
      <c r="C6" t="str" cm="1">
        <f t="array" ref="C6:G24">_xlfn._xlws.SORT(_xlfn._xlws.FILTER(Data!A:E,Data!E:E=$C$3))</f>
        <v>Bangladesh</v>
      </c>
      <c r="D6">
        <v>30</v>
      </c>
      <c r="E6">
        <v>44</v>
      </c>
      <c r="F6" t="str">
        <v>Yes</v>
      </c>
      <c r="G6">
        <v>1</v>
      </c>
    </row>
    <row r="7" spans="3:7" x14ac:dyDescent="0.25">
      <c r="C7" t="str">
        <v>Belgium</v>
      </c>
      <c r="D7">
        <v>24</v>
      </c>
      <c r="E7">
        <v>30</v>
      </c>
      <c r="F7" t="str">
        <v>Yes</v>
      </c>
      <c r="G7">
        <v>1</v>
      </c>
    </row>
    <row r="8" spans="3:7" x14ac:dyDescent="0.25">
      <c r="C8" t="str">
        <v xml:space="preserve">Canada </v>
      </c>
      <c r="D8">
        <v>6</v>
      </c>
      <c r="E8">
        <v>6</v>
      </c>
      <c r="F8" t="str">
        <v>No</v>
      </c>
      <c r="G8">
        <v>1</v>
      </c>
    </row>
    <row r="9" spans="3:7" x14ac:dyDescent="0.25">
      <c r="C9" t="str">
        <v>Ceylon</v>
      </c>
      <c r="D9">
        <v>20</v>
      </c>
      <c r="E9">
        <v>20</v>
      </c>
      <c r="F9" t="str">
        <v>No</v>
      </c>
      <c r="G9">
        <v>1</v>
      </c>
    </row>
    <row r="10" spans="3:7" x14ac:dyDescent="0.25">
      <c r="C10" t="str">
        <v>Chile</v>
      </c>
      <c r="D10">
        <v>32</v>
      </c>
      <c r="E10">
        <v>32</v>
      </c>
      <c r="F10" t="str">
        <v>No</v>
      </c>
      <c r="G10">
        <v>1</v>
      </c>
    </row>
    <row r="11" spans="3:7" x14ac:dyDescent="0.25">
      <c r="C11" t="str">
        <v>Congo</v>
      </c>
      <c r="D11">
        <v>19</v>
      </c>
      <c r="E11">
        <v>19</v>
      </c>
      <c r="F11" t="str">
        <v>No</v>
      </c>
      <c r="G11">
        <v>1</v>
      </c>
    </row>
    <row r="12" spans="3:7" x14ac:dyDescent="0.25">
      <c r="C12" t="str">
        <v xml:space="preserve">Czechoslovakia </v>
      </c>
      <c r="D12">
        <v>7</v>
      </c>
      <c r="E12">
        <v>7</v>
      </c>
      <c r="F12" t="str">
        <v>Yes</v>
      </c>
      <c r="G12">
        <v>1</v>
      </c>
    </row>
    <row r="13" spans="3:7" x14ac:dyDescent="0.25">
      <c r="C13" t="str">
        <v>Ecuador</v>
      </c>
      <c r="D13">
        <v>3</v>
      </c>
      <c r="E13">
        <v>3</v>
      </c>
      <c r="F13" t="str">
        <v>No</v>
      </c>
      <c r="G13">
        <v>1</v>
      </c>
    </row>
    <row r="14" spans="3:7" x14ac:dyDescent="0.25">
      <c r="C14" t="str">
        <v xml:space="preserve">India </v>
      </c>
      <c r="D14">
        <v>8</v>
      </c>
      <c r="E14">
        <v>9</v>
      </c>
      <c r="F14" t="str">
        <v>No</v>
      </c>
      <c r="G14">
        <v>1</v>
      </c>
    </row>
    <row r="15" spans="3:7" x14ac:dyDescent="0.25">
      <c r="C15" t="str">
        <v>Mexico</v>
      </c>
      <c r="D15">
        <v>31</v>
      </c>
      <c r="E15">
        <v>31</v>
      </c>
      <c r="F15" t="str">
        <v>No</v>
      </c>
      <c r="G15">
        <v>1</v>
      </c>
    </row>
    <row r="16" spans="3:7" x14ac:dyDescent="0.25">
      <c r="C16" t="str">
        <v>Mozambique</v>
      </c>
      <c r="D16">
        <v>21</v>
      </c>
      <c r="E16">
        <v>21</v>
      </c>
      <c r="F16" t="str">
        <v>No</v>
      </c>
      <c r="G16">
        <v>1</v>
      </c>
    </row>
    <row r="17" spans="3:7" x14ac:dyDescent="0.25">
      <c r="C17" t="str">
        <v>Panama</v>
      </c>
      <c r="D17">
        <v>15</v>
      </c>
      <c r="E17">
        <v>15</v>
      </c>
      <c r="F17" t="str">
        <v>No</v>
      </c>
      <c r="G17">
        <v>1</v>
      </c>
    </row>
    <row r="18" spans="3:7" x14ac:dyDescent="0.25">
      <c r="C18" t="str">
        <v xml:space="preserve">Philippines </v>
      </c>
      <c r="D18">
        <v>22</v>
      </c>
      <c r="E18">
        <v>22</v>
      </c>
      <c r="F18" t="str">
        <v>No</v>
      </c>
      <c r="G18">
        <v>1</v>
      </c>
    </row>
    <row r="19" spans="3:7" x14ac:dyDescent="0.25">
      <c r="C19" t="str">
        <v>Rhodesia</v>
      </c>
      <c r="D19">
        <v>23</v>
      </c>
      <c r="E19">
        <v>23</v>
      </c>
      <c r="F19" t="str">
        <v>No</v>
      </c>
      <c r="G19">
        <v>1</v>
      </c>
    </row>
    <row r="20" spans="3:7" x14ac:dyDescent="0.25">
      <c r="C20" t="str">
        <v>Romania</v>
      </c>
      <c r="D20">
        <v>4</v>
      </c>
      <c r="E20">
        <v>5</v>
      </c>
      <c r="F20" t="str">
        <v>Yes</v>
      </c>
      <c r="G20">
        <v>1</v>
      </c>
    </row>
    <row r="21" spans="3:7" x14ac:dyDescent="0.25">
      <c r="C21" t="str">
        <v xml:space="preserve">South Africa </v>
      </c>
      <c r="D21">
        <v>16</v>
      </c>
      <c r="E21">
        <v>17</v>
      </c>
      <c r="F21" t="str">
        <v>Yes</v>
      </c>
      <c r="G21">
        <v>1</v>
      </c>
    </row>
    <row r="22" spans="3:7" x14ac:dyDescent="0.25">
      <c r="C22" t="str">
        <v>Spain</v>
      </c>
      <c r="D22">
        <v>1</v>
      </c>
      <c r="E22">
        <v>2</v>
      </c>
      <c r="F22" t="str">
        <v>Yes</v>
      </c>
      <c r="G22">
        <v>1</v>
      </c>
    </row>
    <row r="23" spans="3:7" x14ac:dyDescent="0.25">
      <c r="C23" t="str">
        <v>Thailand</v>
      </c>
      <c r="D23">
        <v>18</v>
      </c>
      <c r="E23">
        <v>18</v>
      </c>
      <c r="F23" t="str">
        <v>No</v>
      </c>
      <c r="G23">
        <v>1</v>
      </c>
    </row>
    <row r="24" spans="3:7" x14ac:dyDescent="0.25">
      <c r="C24" t="str">
        <v xml:space="preserve">Turkey </v>
      </c>
      <c r="D24">
        <v>10</v>
      </c>
      <c r="E24">
        <v>14</v>
      </c>
      <c r="F24" t="str">
        <v>No</v>
      </c>
      <c r="G24">
        <v>1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2931BD6-DE7C-4AC3-AEEA-4E2BE455274E}">
          <x14:formula1>
            <xm:f>Data!$G$6:$G$64</xm:f>
          </x14:formula1>
          <xm:sqref>C3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DFA68F0-A5A0-453B-A11C-D75DA74C7DF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9</vt:i4>
      </vt:variant>
    </vt:vector>
  </HeadingPairs>
  <TitlesOfParts>
    <vt:vector size="32" baseType="lpstr">
      <vt:lpstr>album 1</vt:lpstr>
      <vt:lpstr>album 2</vt:lpstr>
      <vt:lpstr>album 3</vt:lpstr>
      <vt:lpstr>album 4</vt:lpstr>
      <vt:lpstr>album 5</vt:lpstr>
      <vt:lpstr>album 6</vt:lpstr>
      <vt:lpstr>album 7</vt:lpstr>
      <vt:lpstr>all albums</vt:lpstr>
      <vt:lpstr>Sheet1</vt:lpstr>
      <vt:lpstr>abc</vt:lpstr>
      <vt:lpstr>Source</vt:lpstr>
      <vt:lpstr>1</vt:lpstr>
      <vt:lpstr>2</vt:lpstr>
      <vt:lpstr>3</vt:lpstr>
      <vt:lpstr>4</vt:lpstr>
      <vt:lpstr>5</vt:lpstr>
      <vt:lpstr>6</vt:lpstr>
      <vt:lpstr>7</vt:lpstr>
      <vt:lpstr>Data</vt:lpstr>
      <vt:lpstr>Search Box</vt:lpstr>
      <vt:lpstr>8</vt:lpstr>
      <vt:lpstr>9</vt:lpstr>
      <vt:lpstr>Sheet2</vt:lpstr>
      <vt:lpstr>'1'!Print_Area</vt:lpstr>
      <vt:lpstr>'2'!Print_Area</vt:lpstr>
      <vt:lpstr>'3'!Print_Area</vt:lpstr>
      <vt:lpstr>'4'!Print_Area</vt:lpstr>
      <vt:lpstr>'5'!Print_Area</vt:lpstr>
      <vt:lpstr>'6'!Print_Area</vt:lpstr>
      <vt:lpstr>'7'!Print_Area</vt:lpstr>
      <vt:lpstr>'album 1'!Print_Area</vt:lpstr>
      <vt:lpstr>'Search Box'!Print_Area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jiries deeb</dc:creator>
  <cp:lastModifiedBy>User</cp:lastModifiedBy>
  <cp:lastPrinted>2025-05-07T14:51:27Z</cp:lastPrinted>
  <dcterms:created xsi:type="dcterms:W3CDTF">2024-10-03T23:06:32Z</dcterms:created>
  <dcterms:modified xsi:type="dcterms:W3CDTF">2025-05-26T11:01:13Z</dcterms:modified>
</cp:coreProperties>
</file>